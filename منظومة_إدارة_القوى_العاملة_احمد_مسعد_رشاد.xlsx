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\Desktop\"/>
    </mc:Choice>
  </mc:AlternateContent>
  <xr:revisionPtr revIDLastSave="0" documentId="13_ncr:1_{62804508-C741-4BEA-9966-23C8C427A9B5}" xr6:coauthVersionLast="47" xr6:coauthVersionMax="47" xr10:uidLastSave="{00000000-0000-0000-0000-000000000000}"/>
  <bookViews>
    <workbookView xWindow="300" yWindow="0" windowWidth="23700" windowHeight="12780" xr2:uid="{00000000-000D-0000-FFFF-FFFF00000000}"/>
  </bookViews>
  <sheets>
    <sheet name="Dashboard" sheetId="1" r:id="rId1"/>
    <sheet name="cheet1" sheetId="2" r:id="rId2"/>
    <sheet name="الإجازات" sheetId="3" r:id="rId3"/>
    <sheet name="النقل" sheetId="4" r:id="rId4"/>
    <sheet name="الوحدات" sheetId="5" r:id="rId5"/>
    <sheet name="الإعدادات" sheetId="6" r:id="rId6"/>
  </sheets>
  <definedNames>
    <definedName name="_xlnm._FilterDatabase" localSheetId="1" hidden="1">cheet1!$N$74:$N$78</definedName>
    <definedName name="_xlnm.Criteria" localSheetId="1">cheet1!$N$77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" l="1"/>
  <c r="B28" i="5"/>
  <c r="A13" i="1" a="1"/>
  <c r="A13" i="1" s="1"/>
  <c r="A8" i="1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G8" i="1"/>
  <c r="E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<sst xmlns="http://schemas.openxmlformats.org/spreadsheetml/2006/main" count="682" uniqueCount="524">
  <si>
    <t>منظومة إدارة القوى العاملة لفنيي المعامل</t>
  </si>
  <si>
    <t>إدارة بئر العبد الصحية – قسم المتوطنة</t>
  </si>
  <si>
    <t xml:space="preserve">إجمالي الموظفين
</t>
  </si>
  <si>
    <t xml:space="preserve">عدد الوحدات
</t>
  </si>
  <si>
    <t xml:space="preserve">في إجازة
</t>
  </si>
  <si>
    <t xml:space="preserve">منقول
</t>
  </si>
  <si>
    <t>إعداد وتصميم: أحمد مسعد رشاد
مشرف المتوطنة – إدارة بئر العبد الصحية
01005852737</t>
  </si>
  <si>
    <t>اسم الموظف</t>
  </si>
  <si>
    <t>الوحدة</t>
  </si>
  <si>
    <t>الرقم القومي</t>
  </si>
  <si>
    <t>رقم الهاتف</t>
  </si>
  <si>
    <t>ملاحظات</t>
  </si>
  <si>
    <t>رقم</t>
  </si>
  <si>
    <t>نوع الإجازة</t>
  </si>
  <si>
    <t>من</t>
  </si>
  <si>
    <t>إلى</t>
  </si>
  <si>
    <t>عدد الأيام</t>
  </si>
  <si>
    <t>من وحدة</t>
  </si>
  <si>
    <t>إلى وحدة</t>
  </si>
  <si>
    <t>تاريخ النقل</t>
  </si>
  <si>
    <t>سبب النقل</t>
  </si>
  <si>
    <t>عدد الموظفين</t>
  </si>
  <si>
    <t>البند</t>
  </si>
  <si>
    <t>القيمة</t>
  </si>
  <si>
    <t>اسم النظام</t>
  </si>
  <si>
    <t>الإصدار</t>
  </si>
  <si>
    <t>1.0</t>
  </si>
  <si>
    <t>إعداد وتصميم</t>
  </si>
  <si>
    <t>أحمد مسعد رشاد</t>
  </si>
  <si>
    <t>الوظيفة</t>
  </si>
  <si>
    <t>مشرف المتوطنة – إدارة بئر العبد الصحية</t>
  </si>
  <si>
    <t>الهاتف</t>
  </si>
  <si>
    <t>01005852737</t>
  </si>
  <si>
    <t>تاريخ الإنشاء</t>
  </si>
  <si>
    <t>2026-08-05</t>
  </si>
  <si>
    <t>29303191700254</t>
  </si>
  <si>
    <t>30103151306193</t>
  </si>
  <si>
    <t>30310113400211</t>
  </si>
  <si>
    <t>30102013400875</t>
  </si>
  <si>
    <t>30312213400114</t>
  </si>
  <si>
    <t>30108011304281</t>
  </si>
  <si>
    <t>30207173400223</t>
  </si>
  <si>
    <t>30110093400105</t>
  </si>
  <si>
    <t>30012103400247</t>
  </si>
  <si>
    <t>29311071300824</t>
  </si>
  <si>
    <t>29507011315239</t>
  </si>
  <si>
    <t>28704021601635</t>
  </si>
  <si>
    <t>28804103400276</t>
  </si>
  <si>
    <t>30207193400246</t>
  </si>
  <si>
    <t>26905152500948</t>
  </si>
  <si>
    <t>28403062502757</t>
  </si>
  <si>
    <t>30104013400703</t>
  </si>
  <si>
    <t>30302153400203</t>
  </si>
  <si>
    <t>30209303400223</t>
  </si>
  <si>
    <t>01012081871</t>
  </si>
  <si>
    <t>01008858341</t>
  </si>
  <si>
    <t>01099395946</t>
  </si>
  <si>
    <t>01066883975</t>
  </si>
  <si>
    <t>01012452801</t>
  </si>
  <si>
    <t>01061639578</t>
  </si>
  <si>
    <t>01098269892</t>
  </si>
  <si>
    <t>01024337406</t>
  </si>
  <si>
    <t>01028802550</t>
  </si>
  <si>
    <t>01037787653</t>
  </si>
  <si>
    <t>01067652181</t>
  </si>
  <si>
    <t>01065218609</t>
  </si>
  <si>
    <t>01032011021</t>
  </si>
  <si>
    <t>01222587610</t>
  </si>
  <si>
    <t>01009321360</t>
  </si>
  <si>
    <t>01014471689</t>
  </si>
  <si>
    <t>01027767683</t>
  </si>
  <si>
    <t>01080057389</t>
  </si>
  <si>
    <t>01021087590</t>
  </si>
  <si>
    <t>م</t>
  </si>
  <si>
    <t>الإسم</t>
  </si>
  <si>
    <t>محمد خالد فهمي العليمي</t>
  </si>
  <si>
    <t>السادات</t>
  </si>
  <si>
    <t>محمد عبد الحليم إبراهيم عبد الحليم</t>
  </si>
  <si>
    <t>أحمد أحمد سلامة العنيزي</t>
  </si>
  <si>
    <t>إبراهيم محمد عبد العزيز قاسم</t>
  </si>
  <si>
    <t>أحمد مصطفى خالد على</t>
  </si>
  <si>
    <t>شرين محمود عبد الرحمن مصبح</t>
  </si>
  <si>
    <t>أماني موهوب محمد إبراهيم</t>
  </si>
  <si>
    <t>منار عبد القادر ابريك سالم</t>
  </si>
  <si>
    <t>دنيا بشير جمعه بشير</t>
  </si>
  <si>
    <t>تغريد محمد عبداللطيف على</t>
  </si>
  <si>
    <t>محمد إبراهيم محمد محمد</t>
  </si>
  <si>
    <t>عبد العزيز محمد عبد العزيز</t>
  </si>
  <si>
    <t>السلام</t>
  </si>
  <si>
    <t>جلال سالم حسن سليمان</t>
  </si>
  <si>
    <t>رحاب سعدی عاس محمد</t>
  </si>
  <si>
    <t>أمل فرغلى محمد</t>
  </si>
  <si>
    <t>سلیمان فرغلى سليمان مسعود</t>
  </si>
  <si>
    <t>قاطية</t>
  </si>
  <si>
    <t>ريم إبراهيم سالم سليمان</t>
  </si>
  <si>
    <t>دنيا حسن أحمد سلامة</t>
  </si>
  <si>
    <t>نسيبة أحمد إبراهيم محمد</t>
  </si>
  <si>
    <t>أميرة سالم سلمان زايد</t>
  </si>
  <si>
    <t>2959163400102</t>
  </si>
  <si>
    <t>أكتوبر 6</t>
  </si>
  <si>
    <t>01029592824</t>
  </si>
  <si>
    <t>أميرة ماهر خليل محمد</t>
  </si>
  <si>
    <t>30101213400547</t>
  </si>
  <si>
    <t>01030410810</t>
  </si>
  <si>
    <t>جهاد السيد على عبد المهدى</t>
  </si>
  <si>
    <t>30112253400223</t>
  </si>
  <si>
    <t>01010992393</t>
  </si>
  <si>
    <t>حماد محمد حماد ابراهیم</t>
  </si>
  <si>
    <t>29506061301992</t>
  </si>
  <si>
    <t>01028107666</t>
  </si>
  <si>
    <t>محمد سعيد هنيدى سلامة</t>
  </si>
  <si>
    <t>29103271900115</t>
  </si>
  <si>
    <t>01003876862</t>
  </si>
  <si>
    <t>حسنى حسن أبو العطا محمد</t>
  </si>
  <si>
    <t>27501021203492</t>
  </si>
  <si>
    <t>النجاح</t>
  </si>
  <si>
    <t>01006957681</t>
  </si>
  <si>
    <t>هانی محمد سید حسن</t>
  </si>
  <si>
    <t>27801012511978</t>
  </si>
  <si>
    <t>01002838175</t>
  </si>
  <si>
    <t>سامی محمد سید حسن</t>
  </si>
  <si>
    <t>29210062501492</t>
  </si>
  <si>
    <t>01096987066</t>
  </si>
  <si>
    <t>ایمان محمد أحمد الدسوقي</t>
  </si>
  <si>
    <t>30211251300947</t>
  </si>
  <si>
    <t>01013270082</t>
  </si>
  <si>
    <t>نها فيصل سالم محمد</t>
  </si>
  <si>
    <t>30204023400161</t>
  </si>
  <si>
    <t>01013447691</t>
  </si>
  <si>
    <t>وائل أحمد شحاتة أحمد</t>
  </si>
  <si>
    <t>27811212501999</t>
  </si>
  <si>
    <t>بالوظة</t>
  </si>
  <si>
    <t>01092379498</t>
  </si>
  <si>
    <t>محمد السيد سليمان سالم</t>
  </si>
  <si>
    <t>30011013400578</t>
  </si>
  <si>
    <t>01090833609</t>
  </si>
  <si>
    <t>محمد سالم اعمر اعمر</t>
  </si>
  <si>
    <t>30204013400457</t>
  </si>
  <si>
    <t>01010572114</t>
  </si>
  <si>
    <t>يوسف عبد الحميد ناصر سليمان</t>
  </si>
  <si>
    <t>30209163400198</t>
  </si>
  <si>
    <t>01065373206</t>
  </si>
  <si>
    <t>جهاد سليمان سالم سويلم</t>
  </si>
  <si>
    <t>29201133400031</t>
  </si>
  <si>
    <t>الجناين</t>
  </si>
  <si>
    <t>01066241647</t>
  </si>
  <si>
    <t>فاطمة عدلى كامل محمد</t>
  </si>
  <si>
    <t>30101283401880</t>
  </si>
  <si>
    <t>01044140343</t>
  </si>
  <si>
    <t>دعاء إبراهيم السيد سالم</t>
  </si>
  <si>
    <t>30206123400269</t>
  </si>
  <si>
    <t>01013587658</t>
  </si>
  <si>
    <t>یمنى محمد إبراهيم سليمان</t>
  </si>
  <si>
    <t>29808233400285</t>
  </si>
  <si>
    <t>01090284675</t>
  </si>
  <si>
    <t>مرفت محمد عابد محمد</t>
  </si>
  <si>
    <t>28607022400127</t>
  </si>
  <si>
    <t>الخربة</t>
  </si>
  <si>
    <t>01030518533</t>
  </si>
  <si>
    <t>فاطمة إسماعيل حسين حسان</t>
  </si>
  <si>
    <t>29011161900741</t>
  </si>
  <si>
    <t>01024545696</t>
  </si>
  <si>
    <t>اماني فرج عياده</t>
  </si>
  <si>
    <t>301112083400217</t>
  </si>
  <si>
    <t>0109030806</t>
  </si>
  <si>
    <t>عمر عايد جميل</t>
  </si>
  <si>
    <t>30107253400203</t>
  </si>
  <si>
    <t>01022603215</t>
  </si>
  <si>
    <t>احمد سعيد ربيع</t>
  </si>
  <si>
    <t>30001404300252</t>
  </si>
  <si>
    <t>01097151589</t>
  </si>
  <si>
    <t>كريم محمد علي</t>
  </si>
  <si>
    <t>30308063400034</t>
  </si>
  <si>
    <t>01063240105</t>
  </si>
  <si>
    <t>هبه على مقبل هجرس</t>
  </si>
  <si>
    <t>30009123400102</t>
  </si>
  <si>
    <t>010166639026</t>
  </si>
  <si>
    <t>محمد إبراهيم عبد ربه</t>
  </si>
  <si>
    <t>30210243400138</t>
  </si>
  <si>
    <t>01006899523</t>
  </si>
  <si>
    <t>محمد سامي خليل</t>
  </si>
  <si>
    <t>30306103400216</t>
  </si>
  <si>
    <t>01005399041</t>
  </si>
  <si>
    <t>محمد على نصار</t>
  </si>
  <si>
    <t>30308063400032</t>
  </si>
  <si>
    <t>01032438940</t>
  </si>
  <si>
    <t>على محمد عبد المالك</t>
  </si>
  <si>
    <t>30306112402975</t>
  </si>
  <si>
    <t>01020646782</t>
  </si>
  <si>
    <t>نبيل عبد الحليم عبد الحليم</t>
  </si>
  <si>
    <t>27506041201412</t>
  </si>
  <si>
    <t>01026867612</t>
  </si>
  <si>
    <t>محمد إبراهيم محمد</t>
  </si>
  <si>
    <t>27503011601352</t>
  </si>
  <si>
    <t>01091048508</t>
  </si>
  <si>
    <t>دينا عودة محمد سليمان</t>
  </si>
  <si>
    <t>30304133400102</t>
  </si>
  <si>
    <t>01033816584</t>
  </si>
  <si>
    <t>محمد أحمد أحمد</t>
  </si>
  <si>
    <t>30101271500438</t>
  </si>
  <si>
    <t>01026038903</t>
  </si>
  <si>
    <t>السيد حامد الشربيني</t>
  </si>
  <si>
    <t>27502251601612</t>
  </si>
  <si>
    <t>01003777649</t>
  </si>
  <si>
    <t>أسماء محمد الصادق</t>
  </si>
  <si>
    <t>29209151301369</t>
  </si>
  <si>
    <t>01018728712</t>
  </si>
  <si>
    <t>فاتن السيد عبد اللطيف</t>
  </si>
  <si>
    <t>2940891301502</t>
  </si>
  <si>
    <t>01065891711</t>
  </si>
  <si>
    <t>إسراء مصطفى درويش</t>
  </si>
  <si>
    <t>29702153400427</t>
  </si>
  <si>
    <t>01014945897</t>
  </si>
  <si>
    <t>أمل السيد جودة</t>
  </si>
  <si>
    <t>30010013401446</t>
  </si>
  <si>
    <t>01090553432</t>
  </si>
  <si>
    <t>كوكب الامام حسن</t>
  </si>
  <si>
    <t>30108051200241</t>
  </si>
  <si>
    <t>01023923282</t>
  </si>
  <si>
    <t>أمل مصطفى درويش</t>
  </si>
  <si>
    <t>30109273400105</t>
  </si>
  <si>
    <t>01027625061</t>
  </si>
  <si>
    <t>دنیا حلمی محمد</t>
  </si>
  <si>
    <t>30208013401025</t>
  </si>
  <si>
    <t>01063276129</t>
  </si>
  <si>
    <t>أروى أحمد الخضيري</t>
  </si>
  <si>
    <t>30209211200449</t>
  </si>
  <si>
    <t>01020672397</t>
  </si>
  <si>
    <t>نجوى مبروك محيسن</t>
  </si>
  <si>
    <t>30306103400089</t>
  </si>
  <si>
    <t>01096127837</t>
  </si>
  <si>
    <t>محمد إبراهيم على النمر</t>
  </si>
  <si>
    <t>30305103400031</t>
  </si>
  <si>
    <t>01065159659</t>
  </si>
  <si>
    <t>على محمد على</t>
  </si>
  <si>
    <t>30112071300118</t>
  </si>
  <si>
    <t>أم عقبة</t>
  </si>
  <si>
    <t>01069132023</t>
  </si>
  <si>
    <t>علاء الدين شحاتة سالم</t>
  </si>
  <si>
    <t>30002013401257</t>
  </si>
  <si>
    <t>01002285494</t>
  </si>
  <si>
    <t>منى محمد عطا</t>
  </si>
  <si>
    <t>302062003400146</t>
  </si>
  <si>
    <t>01016285109</t>
  </si>
  <si>
    <t>سارة سليمان محمد</t>
  </si>
  <si>
    <t>30312013400586</t>
  </si>
  <si>
    <t>01011782019</t>
  </si>
  <si>
    <t>محمد إبراهيم كمال السيد</t>
  </si>
  <si>
    <t>29301011250539</t>
  </si>
  <si>
    <t>رمانة</t>
  </si>
  <si>
    <t>01092348053</t>
  </si>
  <si>
    <t>عبداللة حسن إعمر عمر</t>
  </si>
  <si>
    <t>30101243400215</t>
  </si>
  <si>
    <t>01200935067</t>
  </si>
  <si>
    <t>أسماء سعد أحمد</t>
  </si>
  <si>
    <t>29409231300869</t>
  </si>
  <si>
    <t>الشهداء</t>
  </si>
  <si>
    <t>01018867858</t>
  </si>
  <si>
    <t>صالح جمال صالح</t>
  </si>
  <si>
    <t>30104083400271</t>
  </si>
  <si>
    <t>01044194682</t>
  </si>
  <si>
    <t>محمد سليمان سالمان ابراهیم</t>
  </si>
  <si>
    <t>30308293400112</t>
  </si>
  <si>
    <t>01028247963</t>
  </si>
  <si>
    <t>هميس عبداللة عبد الكريم عبد الله</t>
  </si>
  <si>
    <t>29309271602685</t>
  </si>
  <si>
    <t>بئر العبد</t>
  </si>
  <si>
    <t>01024552321</t>
  </si>
  <si>
    <t>تسنيم صلاح محمد عثمان</t>
  </si>
  <si>
    <t>30112013400684</t>
  </si>
  <si>
    <t>01028721750</t>
  </si>
  <si>
    <t>اسراء حسین شوقی محمد</t>
  </si>
  <si>
    <t>29205011315861</t>
  </si>
  <si>
    <t>01020260774</t>
  </si>
  <si>
    <t>ابتسام خليل محمد سليمان</t>
  </si>
  <si>
    <t>29610123400280</t>
  </si>
  <si>
    <t>01091021841</t>
  </si>
  <si>
    <t>اميمة سالم السيد محمد</t>
  </si>
  <si>
    <t>30009043400063</t>
  </si>
  <si>
    <t>01019153516</t>
  </si>
  <si>
    <t>هناء محمد سلمى مسلم</t>
  </si>
  <si>
    <t>30101253400302</t>
  </si>
  <si>
    <t>01006064294</t>
  </si>
  <si>
    <t>براء اشرف عبد الرحمن اسماعيل</t>
  </si>
  <si>
    <t>30207101303649</t>
  </si>
  <si>
    <t>01015465393</t>
  </si>
  <si>
    <t>سارة السيد فتحى شحاتة</t>
  </si>
  <si>
    <t>30201233400203</t>
  </si>
  <si>
    <t>01061485592</t>
  </si>
  <si>
    <t>حنان عمران موسي موسي</t>
  </si>
  <si>
    <t>30108203400128</t>
  </si>
  <si>
    <t>01030544370</t>
  </si>
  <si>
    <t>حسناء محسن محمد سالم</t>
  </si>
  <si>
    <t>30105071302548</t>
  </si>
  <si>
    <t>01286917488</t>
  </si>
  <si>
    <t>أسماء جميل سلامة العنيزي</t>
  </si>
  <si>
    <t>30209203400161</t>
  </si>
  <si>
    <t>01024537932</t>
  </si>
  <si>
    <t>سليمان حسین سالم حسین</t>
  </si>
  <si>
    <t>30002023400135</t>
  </si>
  <si>
    <t>01068300653</t>
  </si>
  <si>
    <t>فارس سليمان محمد سليمان</t>
  </si>
  <si>
    <t>30301143400136</t>
  </si>
  <si>
    <t>01068926570</t>
  </si>
  <si>
    <t>ريهام محمد عبد اللطيف</t>
  </si>
  <si>
    <t>29506011312781</t>
  </si>
  <si>
    <t>سلمانة</t>
  </si>
  <si>
    <t>01014314784</t>
  </si>
  <si>
    <t>أسماء سلمى محمود عبدالله</t>
  </si>
  <si>
    <t>29911023400083</t>
  </si>
  <si>
    <t>01018841785</t>
  </si>
  <si>
    <t>شروق محمد أبو الفتوح جمعه</t>
  </si>
  <si>
    <t>30108111600163</t>
  </si>
  <si>
    <t>01011885056</t>
  </si>
  <si>
    <t>نورا السيد عرفة أحمد</t>
  </si>
  <si>
    <t>29709091601069</t>
  </si>
  <si>
    <t>01090496117</t>
  </si>
  <si>
    <t>محمد أحمد عنتر الطويل</t>
  </si>
  <si>
    <t>30201231300775</t>
  </si>
  <si>
    <t>01007825920</t>
  </si>
  <si>
    <t>رحمة فيصل محمد قاسم</t>
  </si>
  <si>
    <t>30208013400622</t>
  </si>
  <si>
    <t>01069309916</t>
  </si>
  <si>
    <t>محمود حمدی محمود هزاع</t>
  </si>
  <si>
    <t>30210233400059</t>
  </si>
  <si>
    <t>01011526214</t>
  </si>
  <si>
    <t>سميرة مسلم نايف اسليم</t>
  </si>
  <si>
    <t>30206063400183</t>
  </si>
  <si>
    <t>01098478655</t>
  </si>
  <si>
    <t>كريمة مرشد سليمان مصطفى</t>
  </si>
  <si>
    <t>30308233400105</t>
  </si>
  <si>
    <t>01063834386</t>
  </si>
  <si>
    <t>حسين سعيد موسى حسين</t>
  </si>
  <si>
    <t>30308201900831</t>
  </si>
  <si>
    <t>01014954787</t>
  </si>
  <si>
    <t>أميمة خالد محمد محمود</t>
  </si>
  <si>
    <t>30207093400087</t>
  </si>
  <si>
    <t>01099760289</t>
  </si>
  <si>
    <t>أحمد محمد شاكر عبداللة</t>
  </si>
  <si>
    <t>30309183400393</t>
  </si>
  <si>
    <t>01007528421</t>
  </si>
  <si>
    <t>محمد سليم عطاللة سالمان</t>
  </si>
  <si>
    <t>30206173400219</t>
  </si>
  <si>
    <t>الكفاح</t>
  </si>
  <si>
    <t>01020540552</t>
  </si>
  <si>
    <t>احمد مسعيد عيد مسعيد</t>
  </si>
  <si>
    <t>30005023400274</t>
  </si>
  <si>
    <t>01008625246</t>
  </si>
  <si>
    <t>نور عصام سعدی عایش</t>
  </si>
  <si>
    <t>30307303400047</t>
  </si>
  <si>
    <t>01001631049</t>
  </si>
  <si>
    <t>أية عبد العزيز عيد كريم</t>
  </si>
  <si>
    <t>29603303400422</t>
  </si>
  <si>
    <t>01016072061</t>
  </si>
  <si>
    <t>ولاء محمود اسليم على</t>
  </si>
  <si>
    <t>30111163400082</t>
  </si>
  <si>
    <t>01018493485</t>
  </si>
  <si>
    <t>محمد أيمن سلمان سالم</t>
  </si>
  <si>
    <t>30206293400131</t>
  </si>
  <si>
    <t>01067224168</t>
  </si>
  <si>
    <t>رحمة مسلم حماد محمد سليمان</t>
  </si>
  <si>
    <t>30208113400182</t>
  </si>
  <si>
    <t>النصر</t>
  </si>
  <si>
    <t>01060386229</t>
  </si>
  <si>
    <t>إيمان سعد سالم محمد سليمان</t>
  </si>
  <si>
    <t>30308243400065</t>
  </si>
  <si>
    <t>01021622795</t>
  </si>
  <si>
    <t>مروة عيسى سالم على</t>
  </si>
  <si>
    <t>30003213400539</t>
  </si>
  <si>
    <t>01092466145</t>
  </si>
  <si>
    <t>منى سالمان حسن علی</t>
  </si>
  <si>
    <t>30205223400065</t>
  </si>
  <si>
    <t>01069663892</t>
  </si>
  <si>
    <t>محمد محمود محمد سالمان</t>
  </si>
  <si>
    <t>30110011833572</t>
  </si>
  <si>
    <t>إقطية</t>
  </si>
  <si>
    <t>01092288174</t>
  </si>
  <si>
    <t>أشرف مسلم زیاد سلیمان</t>
  </si>
  <si>
    <t>30212013400638</t>
  </si>
  <si>
    <t>01012275635</t>
  </si>
  <si>
    <t>إسلام عبد الحميد إبراهيم سليمان</t>
  </si>
  <si>
    <t>30111183400135</t>
  </si>
  <si>
    <t>01006405177</t>
  </si>
  <si>
    <t>سلامة محمد سلامة اسليم</t>
  </si>
  <si>
    <t>28203113400157</t>
  </si>
  <si>
    <t>المريح</t>
  </si>
  <si>
    <t>01025645800</t>
  </si>
  <si>
    <t>محمود عيد سلمان سلام</t>
  </si>
  <si>
    <t>30008213400199</t>
  </si>
  <si>
    <t>01008324796</t>
  </si>
  <si>
    <t>إيمان عبد الفتاح عبد العال</t>
  </si>
  <si>
    <t>30109229130040</t>
  </si>
  <si>
    <t>01004435936</t>
  </si>
  <si>
    <t>محمد سالم سلامة سالم</t>
  </si>
  <si>
    <t>30002013401176</t>
  </si>
  <si>
    <t>01010719184</t>
  </si>
  <si>
    <t>على عبد الرازق فايز عبد العزيز</t>
  </si>
  <si>
    <t>30110163400213</t>
  </si>
  <si>
    <t>01028770832</t>
  </si>
  <si>
    <t>أحمد إسماعيل عطية نوفل</t>
  </si>
  <si>
    <t>29212121300318</t>
  </si>
  <si>
    <t>الشوحط</t>
  </si>
  <si>
    <t>01097908185</t>
  </si>
  <si>
    <t>ممدوح سالم عيد على</t>
  </si>
  <si>
    <t>28104091900471</t>
  </si>
  <si>
    <t>الكرامة</t>
  </si>
  <si>
    <t>01066896774</t>
  </si>
  <si>
    <t>بندر عبد القادر سالم</t>
  </si>
  <si>
    <t>30009303400534</t>
  </si>
  <si>
    <t>01096862749</t>
  </si>
  <si>
    <t>حسن سویلم سالم سلام</t>
  </si>
  <si>
    <t>28612173400318</t>
  </si>
  <si>
    <t>اغزیوان</t>
  </si>
  <si>
    <t>01099170232</t>
  </si>
  <si>
    <t>حماد عودة الله حسين سلامة</t>
  </si>
  <si>
    <t>29404163400131</t>
  </si>
  <si>
    <t>01006729334</t>
  </si>
  <si>
    <t>عبد الهادي عبد الفتاح عبدالهادی</t>
  </si>
  <si>
    <t>27602011203177</t>
  </si>
  <si>
    <t>01066918791</t>
  </si>
  <si>
    <t>حافظ أحمد حسين خميس</t>
  </si>
  <si>
    <t>28408273400154</t>
  </si>
  <si>
    <t>01001694472</t>
  </si>
  <si>
    <t>أسامة محمد عبداللة سويلم</t>
  </si>
  <si>
    <t>30201163400154</t>
  </si>
  <si>
    <t>01066965349</t>
  </si>
  <si>
    <t>أشرف حامد مسعود محمود</t>
  </si>
  <si>
    <t>30101253400477</t>
  </si>
  <si>
    <t>01067793502</t>
  </si>
  <si>
    <t>محمد شحاتة عبد العزيز محمد</t>
  </si>
  <si>
    <t>28801231302199</t>
  </si>
  <si>
    <t>التلول</t>
  </si>
  <si>
    <t>01027288420</t>
  </si>
  <si>
    <t>موسي سليمان خليل محمد</t>
  </si>
  <si>
    <t>30201203400519</t>
  </si>
  <si>
    <t>01090387158</t>
  </si>
  <si>
    <t>محمود موسي عبد المجيد السيد</t>
  </si>
  <si>
    <t>29010011222638</t>
  </si>
  <si>
    <t>01060426548</t>
  </si>
  <si>
    <t>سماح خالد سليمان سليمان</t>
  </si>
  <si>
    <t>30001223400486</t>
  </si>
  <si>
    <t>01090603493</t>
  </si>
  <si>
    <t>حلمي عقيل مضعان حسن</t>
  </si>
  <si>
    <t>29701023400054</t>
  </si>
  <si>
    <t>01063134319</t>
  </si>
  <si>
    <t>ريهام علاء حامد سالم</t>
  </si>
  <si>
    <t>30211073400088</t>
  </si>
  <si>
    <t>01024711652</t>
  </si>
  <si>
    <t>أحمد ماهر عبد المنعم عطية</t>
  </si>
  <si>
    <t>30305101300056</t>
  </si>
  <si>
    <t>01015041328</t>
  </si>
  <si>
    <t>ريهام محمود محمد أحمد</t>
  </si>
  <si>
    <t>28810251900482</t>
  </si>
  <si>
    <t>01020285275</t>
  </si>
  <si>
    <t>نصار فرج نصار سليم</t>
  </si>
  <si>
    <t>30301213400198</t>
  </si>
  <si>
    <t>نجيلة</t>
  </si>
  <si>
    <t>01225931564</t>
  </si>
  <si>
    <t>محمود سلام محمد سليمان</t>
  </si>
  <si>
    <t>3010808400331</t>
  </si>
  <si>
    <t>01080079382</t>
  </si>
  <si>
    <t>سالم محمد سالم اليماني</t>
  </si>
  <si>
    <t>29205033400039</t>
  </si>
  <si>
    <t>01014717324</t>
  </si>
  <si>
    <t>سالم محمود إبراهيم حسن</t>
  </si>
  <si>
    <t>30306143400073</t>
  </si>
  <si>
    <t>01068536376</t>
  </si>
  <si>
    <t>مصطفى محمد الصادق محمد</t>
  </si>
  <si>
    <t>30204061302955</t>
  </si>
  <si>
    <t>01015803400</t>
  </si>
  <si>
    <t>محمد حمد سالمان محمد</t>
  </si>
  <si>
    <t>3010103400371</t>
  </si>
  <si>
    <t>01011381754</t>
  </si>
  <si>
    <t>سالم موسى سالم</t>
  </si>
  <si>
    <t>30308213400036</t>
  </si>
  <si>
    <t>30 يونيو</t>
  </si>
  <si>
    <t>01097988216</t>
  </si>
  <si>
    <t>محمود فرج على</t>
  </si>
  <si>
    <t>29109153400297</t>
  </si>
  <si>
    <t>01065770772</t>
  </si>
  <si>
    <t>بشار خيرت على</t>
  </si>
  <si>
    <t>30304101300432</t>
  </si>
  <si>
    <t>01096323835</t>
  </si>
  <si>
    <t>إيمان على محمد</t>
  </si>
  <si>
    <t>30203113400083</t>
  </si>
  <si>
    <t>01061194803</t>
  </si>
  <si>
    <t>سالم سليمان أحمد سالم</t>
  </si>
  <si>
    <t>30006193400135</t>
  </si>
  <si>
    <t>الروضة</t>
  </si>
  <si>
    <t>01028153908</t>
  </si>
  <si>
    <t>رائد صلاح محمد عثمان</t>
  </si>
  <si>
    <t>30007253400152</t>
  </si>
  <si>
    <t>01090816561</t>
  </si>
  <si>
    <t>أروى صابر خميس جمعة</t>
  </si>
  <si>
    <t>30109263400326</t>
  </si>
  <si>
    <t>01067418087</t>
  </si>
  <si>
    <t>المركز الحضرى</t>
  </si>
  <si>
    <t>طب الأسرة بئر العبد</t>
  </si>
  <si>
    <t>اغزيوان</t>
  </si>
  <si>
    <t xml:space="preserve">نجيلة </t>
  </si>
  <si>
    <t>اقطية</t>
  </si>
  <si>
    <t>6 أكتوبر</t>
  </si>
  <si>
    <t>الاحرار</t>
  </si>
  <si>
    <t>🔍 البحث باسم الوحد:</t>
  </si>
  <si>
    <t>عمود1</t>
  </si>
  <si>
    <t xml:space="preserve"> المركزالحضرى</t>
  </si>
  <si>
    <t>الاجمالى</t>
  </si>
  <si>
    <t>مصطفى عيد بركات حسين</t>
  </si>
  <si>
    <t>28901153400531</t>
  </si>
  <si>
    <t>01013414214</t>
  </si>
  <si>
    <t>أسامة عز الدين عيد</t>
  </si>
  <si>
    <t>29006353400374</t>
  </si>
  <si>
    <t>01015883681</t>
  </si>
  <si>
    <t>أحمد صابر محمد خفاجة</t>
  </si>
  <si>
    <t>29601093400197</t>
  </si>
  <si>
    <t>01068403521</t>
  </si>
  <si>
    <t>سماح  على السيد</t>
  </si>
  <si>
    <t>2950911900843</t>
  </si>
  <si>
    <t>01011818427</t>
  </si>
  <si>
    <t xml:space="preserve">بئرالعبد </t>
  </si>
  <si>
    <t>انتداب لمدة شهر من تاريخة</t>
  </si>
  <si>
    <t>انتداب لمدة شهر الى وحدة السادات من تاريخ 1_10_2026</t>
  </si>
  <si>
    <t xml:space="preserve">تم النقل من الكفاح للكرامة </t>
  </si>
  <si>
    <t>تم النقل من الجناين اللى المريح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</si>
</sst>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2"/>
      <color rgb="FFFFFFFF"/>
      <name val="Calibri"/>
    </font>
    <font>
      <b/>
      <sz val="14"/>
      <color rgb="FF17365D"/>
      <name val="Calibri"/>
    </font>
    <font>
      <b/>
      <sz val="14"/>
      <color rgb="FFFFFFFF"/>
      <name val="Calibri"/>
    </font>
    <font>
      <b/>
      <sz val="18"/>
      <color rgb="FF17365D"/>
      <name val="Calibri"/>
    </font>
    <font>
      <b/>
      <sz val="13"/>
      <color rgb="FF17365D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3F3F76"/>
      <name val="Calibri"/>
      <family val="2"/>
      <scheme val="minor"/>
    </font>
    <font>
      <sz val="18"/>
      <color rgb="FF3F3F76"/>
      <name val="Calibri"/>
      <family val="2"/>
      <scheme val="minor"/>
    </font>
    <font>
      <b/>
      <sz val="11"/>
      <color rgb="FF17365D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C00000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7FA"/>
        <bgColor rgb="FFF2F7FA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rgb="FF1F4E7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2">
    <xf numFmtId="0" fontId="0" fillId="0" borderId="0"/>
    <xf numFmtId="0" fontId="9" fillId="10" borderId="4" applyNumberFormat="0" applyAlignment="0" applyProtection="0"/>
  </cellStyleXfs>
  <cellXfs count="49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2" borderId="0" xfId="0" applyFont="1" applyFill="1"/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right" vertical="center"/>
    </xf>
    <xf numFmtId="49" fontId="8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right" vertical="center"/>
    </xf>
    <xf numFmtId="49" fontId="8" fillId="9" borderId="1" xfId="0" applyNumberFormat="1" applyFont="1" applyFill="1" applyBorder="1" applyAlignment="1">
      <alignment horizontal="center" vertical="center"/>
    </xf>
    <xf numFmtId="0" fontId="0" fillId="0" borderId="0" xfId="0"/>
    <xf numFmtId="0" fontId="7" fillId="7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0" borderId="0" xfId="0"/>
    <xf numFmtId="0" fontId="0" fillId="11" borderId="0" xfId="0" applyFill="1"/>
    <xf numFmtId="0" fontId="1" fillId="12" borderId="0" xfId="0" applyFont="1" applyFill="1" applyAlignment="1"/>
    <xf numFmtId="0" fontId="0" fillId="13" borderId="5" xfId="0" applyFont="1" applyFill="1" applyBorder="1"/>
    <xf numFmtId="0" fontId="0" fillId="14" borderId="5" xfId="0" applyFont="1" applyFill="1" applyBorder="1"/>
    <xf numFmtId="0" fontId="0" fillId="13" borderId="6" xfId="0" applyFont="1" applyFill="1" applyBorder="1"/>
    <xf numFmtId="0" fontId="8" fillId="8" borderId="7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right" vertical="center"/>
    </xf>
    <xf numFmtId="49" fontId="8" fillId="8" borderId="7" xfId="0" applyNumberFormat="1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8" borderId="9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right" vertical="center"/>
    </xf>
    <xf numFmtId="49" fontId="8" fillId="8" borderId="10" xfId="0" applyNumberFormat="1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0" fillId="0" borderId="0" xfId="0" applyBorder="1"/>
    <xf numFmtId="0" fontId="0" fillId="16" borderId="0" xfId="0" applyFill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10" fillId="18" borderId="0" xfId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8" xfId="0" applyFont="1" applyBorder="1" applyAlignment="1">
      <alignment horizontal="center"/>
    </xf>
    <xf numFmtId="0" fontId="6" fillId="17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4" fontId="0" fillId="0" borderId="0" xfId="0" applyNumberFormat="1"/>
  </cellXfs>
  <cellStyles count="2">
    <cellStyle name="إدخال" xfId="1" builtinId="20"/>
    <cellStyle name="عادي" xfId="0" builtinId="0"/>
  </cellStyles>
  <dxfs count="21"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left style="thin">
          <color rgb="FFD9D9D9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4E79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4E79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4E79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4E79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4E79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left style="thin">
          <color rgb="FFD9D9D9"/>
        </left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4E79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75574901518917E-2"/>
          <c:y val="2.3285718148505833E-2"/>
          <c:w val="0.89111698346054269"/>
          <c:h val="0.568014626722477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الوحدات!$B$1</c:f>
              <c:strCache>
                <c:ptCount val="1"/>
                <c:pt idx="0">
                  <c:v>عدد الموظفين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الوحدات!$A$2:$A$27</c:f>
              <c:strCache>
                <c:ptCount val="26"/>
                <c:pt idx="0">
                  <c:v>المركز الحضرى</c:v>
                </c:pt>
                <c:pt idx="1">
                  <c:v>طب الأسرة بئر العبد</c:v>
                </c:pt>
                <c:pt idx="2">
                  <c:v>السادات</c:v>
                </c:pt>
                <c:pt idx="3">
                  <c:v>اغزيوان</c:v>
                </c:pt>
                <c:pt idx="4">
                  <c:v>سلمانة</c:v>
                </c:pt>
                <c:pt idx="5">
                  <c:v>التلول</c:v>
                </c:pt>
                <c:pt idx="6">
                  <c:v>الروضة</c:v>
                </c:pt>
                <c:pt idx="7">
                  <c:v>النجاح</c:v>
                </c:pt>
                <c:pt idx="8">
                  <c:v>الكفاح</c:v>
                </c:pt>
                <c:pt idx="9">
                  <c:v>النصر</c:v>
                </c:pt>
                <c:pt idx="10">
                  <c:v>نجيلة </c:v>
                </c:pt>
                <c:pt idx="11">
                  <c:v>الخربة</c:v>
                </c:pt>
                <c:pt idx="12">
                  <c:v>30 يونيو</c:v>
                </c:pt>
                <c:pt idx="13">
                  <c:v>قاطية</c:v>
                </c:pt>
                <c:pt idx="14">
                  <c:v>اقطية</c:v>
                </c:pt>
                <c:pt idx="15">
                  <c:v>المريح</c:v>
                </c:pt>
                <c:pt idx="16">
                  <c:v>الجناين</c:v>
                </c:pt>
                <c:pt idx="17">
                  <c:v>الكرامة</c:v>
                </c:pt>
                <c:pt idx="18">
                  <c:v>الشهداء</c:v>
                </c:pt>
                <c:pt idx="19">
                  <c:v>رمانة</c:v>
                </c:pt>
                <c:pt idx="20">
                  <c:v>6 أكتوبر</c:v>
                </c:pt>
                <c:pt idx="21">
                  <c:v>الشوحط</c:v>
                </c:pt>
                <c:pt idx="22">
                  <c:v>الاحرار</c:v>
                </c:pt>
                <c:pt idx="23">
                  <c:v>بالوظة</c:v>
                </c:pt>
                <c:pt idx="24">
                  <c:v>السلام</c:v>
                </c:pt>
                <c:pt idx="25">
                  <c:v>أم عقبة</c:v>
                </c:pt>
              </c:strCache>
            </c:strRef>
          </c:cat>
          <c:val>
            <c:numRef>
              <c:f>الوحدات!$B$2:$B$27</c:f>
              <c:numCache>
                <c:formatCode>General</c:formatCode>
                <c:ptCount val="26"/>
                <c:pt idx="0">
                  <c:v>15</c:v>
                </c:pt>
                <c:pt idx="1">
                  <c:v>13</c:v>
                </c:pt>
                <c:pt idx="2">
                  <c:v>11</c:v>
                </c:pt>
                <c:pt idx="3">
                  <c:v>6</c:v>
                </c:pt>
                <c:pt idx="4">
                  <c:v>12</c:v>
                </c:pt>
                <c:pt idx="5">
                  <c:v>8</c:v>
                </c:pt>
                <c:pt idx="6">
                  <c:v>3</c:v>
                </c:pt>
                <c:pt idx="7">
                  <c:v>5</c:v>
                </c:pt>
                <c:pt idx="8">
                  <c:v>6</c:v>
                </c:pt>
                <c:pt idx="9">
                  <c:v>4</c:v>
                </c:pt>
                <c:pt idx="10">
                  <c:v>6</c:v>
                </c:pt>
                <c:pt idx="11">
                  <c:v>11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2-40C8-BAF2-FB19380E70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522571071"/>
        <c:axId val="522567231"/>
      </c:barChart>
      <c:catAx>
        <c:axId val="52257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567231"/>
        <c:crosses val="autoZero"/>
        <c:auto val="1"/>
        <c:lblAlgn val="ctr"/>
        <c:lblOffset val="100"/>
        <c:noMultiLvlLbl val="0"/>
      </c:catAx>
      <c:valAx>
        <c:axId val="522567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571071"/>
        <c:crosses val="autoZero"/>
        <c:crossBetween val="between"/>
      </c:valAx>
      <c:spPr>
        <a:solidFill>
          <a:srgbClr val="FFFF00"/>
        </a:solidFill>
        <a:ln>
          <a:solidFill>
            <a:srgbClr val="D54773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2D91">
        <a:lumMod val="60000"/>
        <a:lumOff val="40000"/>
      </a:srgbClr>
    </a:solidFill>
    <a:ln w="9525" cap="flat" cmpd="sng" algn="ctr">
      <a:solidFill>
        <a:srgbClr val="D5477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الوحدات!$B$1</c:f>
              <c:strCache>
                <c:ptCount val="1"/>
                <c:pt idx="0">
                  <c:v>عدد الموظفين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الوحدات!$A$2:$A$27</c:f>
              <c:strCache>
                <c:ptCount val="26"/>
                <c:pt idx="0">
                  <c:v>المركز الحضرى</c:v>
                </c:pt>
                <c:pt idx="1">
                  <c:v>طب الأسرة بئر العبد</c:v>
                </c:pt>
                <c:pt idx="2">
                  <c:v>السادات</c:v>
                </c:pt>
                <c:pt idx="3">
                  <c:v>اغزيوان</c:v>
                </c:pt>
                <c:pt idx="4">
                  <c:v>سلمانة</c:v>
                </c:pt>
                <c:pt idx="5">
                  <c:v>التلول</c:v>
                </c:pt>
                <c:pt idx="6">
                  <c:v>الروضة</c:v>
                </c:pt>
                <c:pt idx="7">
                  <c:v>النجاح</c:v>
                </c:pt>
                <c:pt idx="8">
                  <c:v>الكفاح</c:v>
                </c:pt>
                <c:pt idx="9">
                  <c:v>النصر</c:v>
                </c:pt>
                <c:pt idx="10">
                  <c:v>نجيلة </c:v>
                </c:pt>
                <c:pt idx="11">
                  <c:v>الخربة</c:v>
                </c:pt>
                <c:pt idx="12">
                  <c:v>30 يونيو</c:v>
                </c:pt>
                <c:pt idx="13">
                  <c:v>قاطية</c:v>
                </c:pt>
                <c:pt idx="14">
                  <c:v>اقطية</c:v>
                </c:pt>
                <c:pt idx="15">
                  <c:v>المريح</c:v>
                </c:pt>
                <c:pt idx="16">
                  <c:v>الجناين</c:v>
                </c:pt>
                <c:pt idx="17">
                  <c:v>الكرامة</c:v>
                </c:pt>
                <c:pt idx="18">
                  <c:v>الشهداء</c:v>
                </c:pt>
                <c:pt idx="19">
                  <c:v>رمانة</c:v>
                </c:pt>
                <c:pt idx="20">
                  <c:v>6 أكتوبر</c:v>
                </c:pt>
                <c:pt idx="21">
                  <c:v>الشوحط</c:v>
                </c:pt>
                <c:pt idx="22">
                  <c:v>الاحرار</c:v>
                </c:pt>
                <c:pt idx="23">
                  <c:v>بالوظة</c:v>
                </c:pt>
                <c:pt idx="24">
                  <c:v>السلام</c:v>
                </c:pt>
                <c:pt idx="25">
                  <c:v>أم عقبة</c:v>
                </c:pt>
              </c:strCache>
            </c:strRef>
          </c:cat>
          <c:val>
            <c:numRef>
              <c:f>الوحدات!$B$2:$B$27</c:f>
              <c:numCache>
                <c:formatCode>General</c:formatCode>
                <c:ptCount val="26"/>
                <c:pt idx="0">
                  <c:v>15</c:v>
                </c:pt>
                <c:pt idx="1">
                  <c:v>13</c:v>
                </c:pt>
                <c:pt idx="2">
                  <c:v>11</c:v>
                </c:pt>
                <c:pt idx="3">
                  <c:v>6</c:v>
                </c:pt>
                <c:pt idx="4">
                  <c:v>12</c:v>
                </c:pt>
                <c:pt idx="5">
                  <c:v>8</c:v>
                </c:pt>
                <c:pt idx="6">
                  <c:v>3</c:v>
                </c:pt>
                <c:pt idx="7">
                  <c:v>5</c:v>
                </c:pt>
                <c:pt idx="8">
                  <c:v>6</c:v>
                </c:pt>
                <c:pt idx="9">
                  <c:v>4</c:v>
                </c:pt>
                <c:pt idx="10">
                  <c:v>6</c:v>
                </c:pt>
                <c:pt idx="11">
                  <c:v>11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5-4E1D-952D-2F39B8C021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522571071"/>
        <c:axId val="522567231"/>
      </c:barChart>
      <c:catAx>
        <c:axId val="52257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567231"/>
        <c:crosses val="autoZero"/>
        <c:auto val="1"/>
        <c:lblAlgn val="ctr"/>
        <c:lblOffset val="100"/>
        <c:noMultiLvlLbl val="0"/>
      </c:catAx>
      <c:valAx>
        <c:axId val="522567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57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2343149</xdr:colOff>
      <xdr:row>9</xdr:row>
      <xdr:rowOff>47625</xdr:rowOff>
    </xdr:from>
    <xdr:to>
      <xdr:col>16</xdr:col>
      <xdr:colOff>66674</xdr:colOff>
      <xdr:row>27</xdr:row>
      <xdr:rowOff>161925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C1EE41B5-CADB-400E-9887-4F845F442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561975</xdr:colOff>
      <xdr:row>0</xdr:row>
      <xdr:rowOff>123826</xdr:rowOff>
    </xdr:from>
    <xdr:to>
      <xdr:col>20</xdr:col>
      <xdr:colOff>104775</xdr:colOff>
      <xdr:row>28</xdr:row>
      <xdr:rowOff>138114</xdr:rowOff>
    </xdr:to>
    <xdr:graphicFrame macro="">
      <xdr:nvGraphicFramePr>
        <xdr:cNvPr id="5" name="مخطط 4">
          <a:extLst>
            <a:ext uri="{FF2B5EF4-FFF2-40B4-BE49-F238E27FC236}">
              <a16:creationId xmlns:a16="http://schemas.microsoft.com/office/drawing/2014/main" id="{7FFDDFB4-16BF-4F67-B3AE-F8BAE7B5F6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F9FEB0-34B0-45A1-905A-CDEE8804A94B}" name="الجدول3" displayName="الجدول3" ref="A11:F12" insertRow="1" insertRowShift="1" totalsRowShown="0" headerRowDxfId="20" dataDxfId="19" tableBorderDxfId="18">
  <autoFilter ref="A11:F12" xr:uid="{D7F9FEB0-34B0-45A1-905A-CDEE8804A94B}"/>
  <tableColumns count="6">
    <tableColumn id="1" xr3:uid="{35EFA6B1-72E1-485A-BAF0-D13945847EAE}" name="م" dataDxfId="17"/>
    <tableColumn id="2" xr3:uid="{20F88B80-0F98-4A42-A283-D813093E4D10}" name="الإسم" dataDxfId="16"/>
    <tableColumn id="3" xr3:uid="{88005CB5-CF9B-4057-86C5-D0520B558A96}" name="الرقم القومي" dataDxfId="15"/>
    <tableColumn id="4" xr3:uid="{77FCB491-6F0F-4E7D-8042-EFC0E2587BB3}" name="الوحدة" dataDxfId="14"/>
    <tableColumn id="5" xr3:uid="{C58E6F06-6372-43DE-BCC5-1377A59653C2}" name="رقم الهاتف" dataDxfId="13">
      <calculatedColumnFormula array="1">f</calculatedColumnFormula>
    </tableColumn>
    <tableColumn id="6" xr3:uid="{ACB28ADF-7BA8-49A6-A3C6-5C58585AFE4F}" name="ملاحظات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7EC780-70BE-451F-B0FF-E659202FA00B}" name="الجدول2" displayName="الجدول2" ref="A1:G150" totalsRowShown="0" headerRowDxfId="11" tableBorderDxfId="10">
  <autoFilter ref="A1:G150" xr:uid="{E77EC780-70BE-451F-B0FF-E659202FA00B}"/>
  <tableColumns count="7">
    <tableColumn id="1" xr3:uid="{569C51CA-971C-49E2-9531-425D535D6E11}" name="م" dataDxfId="9"/>
    <tableColumn id="2" xr3:uid="{5C5F83CA-4348-49B8-AA10-EBA972CCD749}" name="الإسم" dataDxfId="8"/>
    <tableColumn id="3" xr3:uid="{A9EDABDD-FC25-4A50-ACF6-DADA3342B708}" name="الرقم القومي" dataDxfId="7"/>
    <tableColumn id="4" xr3:uid="{38C841A2-2730-4F89-A6E7-80BCA58815FC}" name="الوحدة" dataDxfId="6"/>
    <tableColumn id="5" xr3:uid="{D80CAF7A-1341-4826-8B42-ECEBBDA7AA79}" name="رقم الهاتف" dataDxfId="5"/>
    <tableColumn id="6" xr3:uid="{403924DE-F57A-424B-85D7-FB8CA6049CDA}" name="عمود1" dataDxfId="4"/>
    <tableColumn id="7" xr3:uid="{52D796BC-84F8-4E98-A54B-3108AF9BE8DE}" name="ملاحظات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أحمر بنفسجي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أحمر بنفسجي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أحمر بنفسجي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1"/>
  <dimension ref="A1:T157"/>
  <sheetViews>
    <sheetView showGridLines="0" rightToLeft="1" tabSelected="1" topLeftCell="A4" workbookViewId="0">
      <selection activeCell="B9" sqref="B9:C10"/>
    </sheetView>
  </sheetViews>
  <sheetFormatPr defaultRowHeight="15" x14ac:dyDescent="0.25"/>
  <cols>
    <col min="1" max="1" width="17.85546875" customWidth="1"/>
    <col min="2" max="2" width="20.5703125" customWidth="1"/>
    <col min="3" max="3" width="20.42578125" customWidth="1"/>
    <col min="4" max="4" width="18" customWidth="1"/>
    <col min="5" max="5" width="21.140625" customWidth="1"/>
    <col min="6" max="6" width="35.28515625" customWidth="1"/>
    <col min="7" max="7" width="18" style="18" customWidth="1"/>
    <col min="8" max="8" width="18" customWidth="1"/>
  </cols>
  <sheetData>
    <row r="1" spans="1:20" x14ac:dyDescent="0.25">
      <c r="A1" s="36" t="s">
        <v>0</v>
      </c>
      <c r="B1" s="37"/>
      <c r="C1" s="37"/>
      <c r="D1" s="37"/>
      <c r="E1" s="37"/>
      <c r="F1" s="37"/>
      <c r="G1" s="37"/>
      <c r="H1" s="37"/>
    </row>
    <row r="2" spans="1:20" x14ac:dyDescent="0.25">
      <c r="A2" s="37"/>
      <c r="B2" s="37"/>
      <c r="C2" s="37"/>
      <c r="D2" s="37"/>
      <c r="E2" s="37"/>
      <c r="F2" s="37"/>
      <c r="G2" s="37"/>
      <c r="H2" s="37"/>
    </row>
    <row r="3" spans="1:20" ht="18.75" customHeight="1" x14ac:dyDescent="0.3">
      <c r="A3" s="39" t="s">
        <v>1</v>
      </c>
      <c r="B3" s="37"/>
      <c r="C3" s="37"/>
      <c r="D3" s="37"/>
      <c r="E3" s="37"/>
      <c r="F3" s="37"/>
      <c r="G3" s="37"/>
      <c r="H3" s="37"/>
      <c r="K3" s="17"/>
      <c r="L3" s="46" t="s">
        <v>6</v>
      </c>
      <c r="M3" s="46"/>
      <c r="N3" s="46"/>
      <c r="O3" s="46"/>
      <c r="P3" s="46"/>
      <c r="Q3" s="46"/>
      <c r="R3" s="46"/>
      <c r="S3" s="46"/>
    </row>
    <row r="4" spans="1:20" ht="15" customHeight="1" x14ac:dyDescent="0.25">
      <c r="K4" s="17"/>
      <c r="L4" s="46"/>
      <c r="M4" s="46"/>
      <c r="N4" s="46"/>
      <c r="O4" s="46"/>
      <c r="P4" s="46"/>
      <c r="Q4" s="46"/>
      <c r="R4" s="46"/>
      <c r="S4" s="46"/>
    </row>
    <row r="5" spans="1:20" ht="15" customHeight="1" x14ac:dyDescent="0.25">
      <c r="A5" s="47" t="s">
        <v>2</v>
      </c>
      <c r="B5" s="37"/>
      <c r="C5" s="40" t="s">
        <v>3</v>
      </c>
      <c r="D5" s="37"/>
      <c r="E5" s="42" t="s">
        <v>4</v>
      </c>
      <c r="F5" s="37"/>
      <c r="G5" s="41" t="s">
        <v>5</v>
      </c>
      <c r="H5" s="37"/>
      <c r="K5" s="17"/>
      <c r="L5" s="46"/>
      <c r="M5" s="46"/>
      <c r="N5" s="46"/>
      <c r="O5" s="46"/>
      <c r="P5" s="46"/>
      <c r="Q5" s="46"/>
      <c r="R5" s="46"/>
      <c r="S5" s="46"/>
    </row>
    <row r="6" spans="1:20" x14ac:dyDescent="0.25">
      <c r="A6" s="37"/>
      <c r="B6" s="37"/>
      <c r="C6" s="37"/>
      <c r="D6" s="37"/>
      <c r="E6" s="37"/>
      <c r="F6" s="37"/>
      <c r="G6" s="37"/>
      <c r="H6" s="3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spans="1:20" x14ac:dyDescent="0.25">
      <c r="A7" s="37"/>
      <c r="B7" s="37"/>
      <c r="C7" s="37"/>
      <c r="D7" s="37"/>
      <c r="E7" s="37"/>
      <c r="F7" s="37"/>
      <c r="G7" s="37"/>
      <c r="H7" s="37"/>
      <c r="K7" s="17"/>
      <c r="L7" s="17"/>
      <c r="M7" s="17"/>
      <c r="N7" s="17"/>
      <c r="O7" s="17"/>
      <c r="P7" s="17"/>
      <c r="Q7" s="17"/>
      <c r="R7" s="17"/>
      <c r="S7" s="17"/>
    </row>
    <row r="8" spans="1:20" ht="23.25" customHeight="1" x14ac:dyDescent="0.35">
      <c r="A8" s="38">
        <f>COUNTA(cheet1!B:B)-1</f>
        <v>149</v>
      </c>
      <c r="B8" s="37"/>
      <c r="C8" s="38">
        <f>COUNTA(الوحدات!A:A)-1</f>
        <v>27</v>
      </c>
      <c r="D8" s="37"/>
      <c r="E8" s="38">
        <f>COUNTIF(cheet1!F:F,"إجازة")</f>
        <v>0</v>
      </c>
      <c r="F8" s="37"/>
      <c r="G8" s="38">
        <f>COUNTIF(cheet1!F:F,"منقول")</f>
        <v>0</v>
      </c>
      <c r="H8" s="37"/>
      <c r="K8" s="17"/>
    </row>
    <row r="9" spans="1:20" ht="15" customHeight="1" x14ac:dyDescent="0.25">
      <c r="A9" s="44" t="s">
        <v>503</v>
      </c>
      <c r="B9" s="43" t="s">
        <v>405</v>
      </c>
      <c r="C9" s="43"/>
      <c r="K9" s="17"/>
    </row>
    <row r="10" spans="1:20" ht="17.25" customHeight="1" x14ac:dyDescent="0.25">
      <c r="A10" s="45"/>
      <c r="B10" s="43"/>
      <c r="C10" s="43"/>
      <c r="K10" s="17"/>
    </row>
    <row r="11" spans="1:20" x14ac:dyDescent="0.25">
      <c r="A11" s="13" t="s">
        <v>73</v>
      </c>
      <c r="B11" s="5" t="s">
        <v>74</v>
      </c>
      <c r="C11" s="5" t="s">
        <v>9</v>
      </c>
      <c r="D11" s="5" t="s">
        <v>8</v>
      </c>
      <c r="E11" s="5" t="s">
        <v>10</v>
      </c>
      <c r="F11" s="16" t="s">
        <v>11</v>
      </c>
      <c r="G11" s="19"/>
    </row>
    <row r="12" spans="1:20" s="18" customFormat="1" hidden="1" x14ac:dyDescent="0.25">
      <c r="A12" s="26"/>
      <c r="B12" s="27"/>
      <c r="C12" s="27"/>
      <c r="D12" s="27"/>
      <c r="E12" s="27"/>
      <c r="F12" s="28"/>
      <c r="G12" s="20"/>
    </row>
    <row r="13" spans="1:20" x14ac:dyDescent="0.25">
      <c r="A13" s="23" cm="1">
        <f t="array" ref="A13:G15">_xlfn._xlws.FILTER(الجدول2[], ISNUMBER(SEARCH(B9, الجدول2[الوحدة])), "NotFound")</f>
        <v>23</v>
      </c>
      <c r="B13" s="24" t="str">
        <v>حماد محمد حماد ابراهیم</v>
      </c>
      <c r="C13" s="25" t="str">
        <v>29506061301992</v>
      </c>
      <c r="D13" s="23" t="str">
        <v>الكرامة</v>
      </c>
      <c r="E13" s="25" t="str">
        <v>01028107666</v>
      </c>
      <c r="F13" s="23">
        <v>0</v>
      </c>
      <c r="G13" s="21" t="str">
        <v xml:space="preserve">تم النقل من الكفاح للكرامة </v>
      </c>
    </row>
    <row r="14" spans="1:20" x14ac:dyDescent="0.25">
      <c r="A14" s="9">
        <v>117</v>
      </c>
      <c r="B14" s="10" t="str">
        <v>ممدوح سالم عيد على</v>
      </c>
      <c r="C14" s="11" t="str">
        <v>28104091900471</v>
      </c>
      <c r="D14" s="9" t="str">
        <v>الكرامة</v>
      </c>
      <c r="E14" s="11" t="str">
        <v>01066896774</v>
      </c>
      <c r="F14" s="9">
        <v>0</v>
      </c>
      <c r="G14" s="20">
        <v>0</v>
      </c>
    </row>
    <row r="15" spans="1:20" x14ac:dyDescent="0.25">
      <c r="A15" s="6">
        <v>118</v>
      </c>
      <c r="B15" s="7" t="str">
        <v>بندر عبد القادر سالم</v>
      </c>
      <c r="C15" s="8" t="str">
        <v>30009303400534</v>
      </c>
      <c r="D15" s="6" t="str">
        <v>الكرامة</v>
      </c>
      <c r="E15" s="8" t="str">
        <v>01096862749</v>
      </c>
      <c r="F15" s="6">
        <v>0</v>
      </c>
      <c r="G15" s="21">
        <v>0</v>
      </c>
    </row>
    <row r="16" spans="1:20" x14ac:dyDescent="0.25">
      <c r="A16" s="9"/>
      <c r="B16" s="10"/>
      <c r="C16" s="11"/>
      <c r="D16" s="9"/>
      <c r="E16" s="11"/>
      <c r="F16" s="9"/>
      <c r="G16" s="20"/>
    </row>
    <row r="17" spans="1:20" x14ac:dyDescent="0.25">
      <c r="A17" s="6"/>
      <c r="B17" s="7"/>
      <c r="C17" s="8"/>
      <c r="D17" s="6"/>
      <c r="E17" s="8"/>
      <c r="F17" s="6"/>
      <c r="G17" s="21"/>
    </row>
    <row r="18" spans="1:20" x14ac:dyDescent="0.25">
      <c r="A18" s="9"/>
      <c r="B18" s="10"/>
      <c r="C18" s="11"/>
      <c r="D18" s="9"/>
      <c r="E18" s="11"/>
      <c r="F18" s="9"/>
      <c r="G18" s="20"/>
    </row>
    <row r="19" spans="1:20" x14ac:dyDescent="0.25">
      <c r="A19" s="6"/>
      <c r="B19" s="7"/>
      <c r="C19" s="8"/>
      <c r="D19" s="6"/>
      <c r="E19" s="8"/>
      <c r="F19" s="6"/>
      <c r="G19" s="21"/>
    </row>
    <row r="20" spans="1:20" x14ac:dyDescent="0.25">
      <c r="A20" s="9"/>
      <c r="B20" s="10"/>
      <c r="C20" s="11"/>
      <c r="D20" s="9"/>
      <c r="E20" s="11"/>
      <c r="F20" s="9"/>
      <c r="G20" s="20"/>
    </row>
    <row r="21" spans="1:20" x14ac:dyDescent="0.25">
      <c r="A21" s="6"/>
      <c r="B21" s="7"/>
      <c r="C21" s="8"/>
      <c r="D21" s="6"/>
      <c r="E21" s="8"/>
      <c r="F21" s="6"/>
      <c r="G21" s="21"/>
    </row>
    <row r="22" spans="1:20" x14ac:dyDescent="0.25">
      <c r="A22" s="9"/>
      <c r="B22" s="10"/>
      <c r="C22" s="11"/>
      <c r="D22" s="9"/>
      <c r="E22" s="11"/>
      <c r="F22" s="9"/>
      <c r="G22" s="20"/>
    </row>
    <row r="23" spans="1:20" x14ac:dyDescent="0.25">
      <c r="A23" s="6"/>
      <c r="B23" s="7"/>
      <c r="C23" s="8"/>
      <c r="D23" s="6"/>
      <c r="E23" s="8"/>
      <c r="F23" s="6"/>
      <c r="G23" s="21"/>
    </row>
    <row r="24" spans="1:20" x14ac:dyDescent="0.25">
      <c r="A24" s="9"/>
      <c r="B24" s="10"/>
      <c r="C24" s="11"/>
      <c r="D24" s="9"/>
      <c r="E24" s="11"/>
      <c r="F24" s="9"/>
      <c r="G24" s="20"/>
    </row>
    <row r="25" spans="1:20" x14ac:dyDescent="0.25">
      <c r="A25" s="6"/>
      <c r="B25" s="7"/>
      <c r="C25" s="8"/>
      <c r="D25" s="6"/>
      <c r="E25" s="8"/>
      <c r="F25" s="6"/>
      <c r="G25" s="21"/>
    </row>
    <row r="26" spans="1:20" x14ac:dyDescent="0.25">
      <c r="A26" s="9"/>
      <c r="B26" s="10"/>
      <c r="C26" s="11"/>
      <c r="D26" s="9"/>
      <c r="E26" s="11"/>
      <c r="F26" s="9"/>
      <c r="G26" s="20"/>
    </row>
    <row r="27" spans="1:20" x14ac:dyDescent="0.25">
      <c r="A27" s="6"/>
      <c r="B27" s="7"/>
      <c r="C27" s="8"/>
      <c r="D27" s="6"/>
      <c r="E27" s="8"/>
      <c r="F27" s="6"/>
      <c r="G27" s="21"/>
    </row>
    <row r="28" spans="1:20" x14ac:dyDescent="0.25">
      <c r="A28" s="9"/>
      <c r="B28" s="10"/>
      <c r="C28" s="11"/>
      <c r="D28" s="9"/>
      <c r="E28" s="11"/>
      <c r="F28" s="9"/>
      <c r="G28" s="20"/>
    </row>
    <row r="29" spans="1:20" ht="15" customHeight="1" x14ac:dyDescent="0.25">
      <c r="A29" s="6"/>
      <c r="B29" s="7"/>
      <c r="C29" s="8"/>
      <c r="D29" s="6"/>
      <c r="E29" s="8"/>
      <c r="F29" s="6"/>
      <c r="G29" s="21"/>
      <c r="H29" s="17"/>
      <c r="I29" s="17"/>
      <c r="J29" s="17"/>
      <c r="K29" s="17"/>
      <c r="L29" s="17"/>
    </row>
    <row r="30" spans="1:20" ht="15" customHeight="1" x14ac:dyDescent="0.25">
      <c r="A30" s="9"/>
      <c r="B30" s="10"/>
      <c r="C30" s="11"/>
      <c r="D30" s="9"/>
      <c r="E30" s="11"/>
      <c r="F30" s="9"/>
      <c r="G30" s="20"/>
      <c r="H30" s="17"/>
      <c r="I30" s="17"/>
      <c r="J30" s="17"/>
      <c r="K30" s="17"/>
      <c r="L30" s="17"/>
    </row>
    <row r="31" spans="1:20" ht="15" customHeight="1" x14ac:dyDescent="0.25">
      <c r="A31" s="6"/>
      <c r="B31" s="7"/>
      <c r="C31" s="8"/>
      <c r="D31" s="6"/>
      <c r="E31" s="8"/>
      <c r="F31" s="6"/>
      <c r="G31" s="21"/>
      <c r="H31" s="17"/>
      <c r="I31" s="17"/>
      <c r="J31" s="17"/>
      <c r="K31" s="17"/>
      <c r="L31" s="17"/>
    </row>
    <row r="32" spans="1:20" x14ac:dyDescent="0.25">
      <c r="A32" s="9"/>
      <c r="B32" s="10"/>
      <c r="C32" s="11"/>
      <c r="D32" s="9"/>
      <c r="E32" s="11"/>
      <c r="F32" s="9"/>
      <c r="G32" s="20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 spans="1:7" x14ac:dyDescent="0.25">
      <c r="A33" s="6"/>
      <c r="B33" s="7"/>
      <c r="C33" s="8"/>
      <c r="D33" s="6"/>
      <c r="E33" s="8"/>
      <c r="F33" s="6"/>
      <c r="G33" s="21"/>
    </row>
    <row r="34" spans="1:7" x14ac:dyDescent="0.25">
      <c r="A34" s="9"/>
      <c r="B34" s="10"/>
      <c r="C34" s="11"/>
      <c r="D34" s="9"/>
      <c r="E34" s="11"/>
      <c r="F34" s="9"/>
      <c r="G34" s="20"/>
    </row>
    <row r="35" spans="1:7" x14ac:dyDescent="0.25">
      <c r="A35" s="6"/>
      <c r="B35" s="7"/>
      <c r="C35" s="8"/>
      <c r="D35" s="6"/>
      <c r="E35" s="8"/>
      <c r="F35" s="6"/>
      <c r="G35" s="21"/>
    </row>
    <row r="36" spans="1:7" x14ac:dyDescent="0.25">
      <c r="A36" s="9"/>
      <c r="B36" s="10"/>
      <c r="C36" s="11"/>
      <c r="D36" s="9"/>
      <c r="E36" s="11"/>
      <c r="F36" s="9"/>
      <c r="G36" s="20"/>
    </row>
    <row r="37" spans="1:7" x14ac:dyDescent="0.25">
      <c r="A37" s="6"/>
      <c r="B37" s="7"/>
      <c r="C37" s="8"/>
      <c r="D37" s="6"/>
      <c r="E37" s="8"/>
      <c r="F37" s="6"/>
      <c r="G37" s="21"/>
    </row>
    <row r="38" spans="1:7" x14ac:dyDescent="0.25">
      <c r="A38" s="9"/>
      <c r="B38" s="10"/>
      <c r="C38" s="11"/>
      <c r="D38" s="9"/>
      <c r="E38" s="11"/>
      <c r="F38" s="9"/>
      <c r="G38" s="20"/>
    </row>
    <row r="39" spans="1:7" x14ac:dyDescent="0.25">
      <c r="A39" s="6"/>
      <c r="B39" s="7"/>
      <c r="C39" s="8"/>
      <c r="D39" s="6"/>
      <c r="E39" s="8"/>
      <c r="F39" s="6"/>
      <c r="G39" s="21"/>
    </row>
    <row r="40" spans="1:7" x14ac:dyDescent="0.25">
      <c r="A40" s="9"/>
      <c r="B40" s="10"/>
      <c r="C40" s="11"/>
      <c r="D40" s="9"/>
      <c r="E40" s="11"/>
      <c r="F40" s="9"/>
      <c r="G40" s="20"/>
    </row>
    <row r="41" spans="1:7" x14ac:dyDescent="0.25">
      <c r="A41" s="6"/>
      <c r="B41" s="7"/>
      <c r="C41" s="8"/>
      <c r="D41" s="6"/>
      <c r="E41" s="8"/>
      <c r="F41" s="6"/>
      <c r="G41" s="21"/>
    </row>
    <row r="42" spans="1:7" x14ac:dyDescent="0.25">
      <c r="A42" s="9"/>
      <c r="B42" s="10"/>
      <c r="C42" s="11"/>
      <c r="D42" s="9"/>
      <c r="E42" s="11"/>
      <c r="F42" s="9"/>
      <c r="G42" s="20"/>
    </row>
    <row r="43" spans="1:7" x14ac:dyDescent="0.25">
      <c r="A43" s="6"/>
      <c r="B43" s="7"/>
      <c r="C43" s="8"/>
      <c r="D43" s="6"/>
      <c r="E43" s="8"/>
      <c r="F43" s="6"/>
      <c r="G43" s="21"/>
    </row>
    <row r="44" spans="1:7" x14ac:dyDescent="0.25">
      <c r="A44" s="9"/>
      <c r="B44" s="10"/>
      <c r="C44" s="11"/>
      <c r="D44" s="9"/>
      <c r="E44" s="11"/>
      <c r="F44" s="9"/>
      <c r="G44" s="20"/>
    </row>
    <row r="45" spans="1:7" x14ac:dyDescent="0.25">
      <c r="A45" s="6"/>
      <c r="B45" s="7"/>
      <c r="C45" s="8"/>
      <c r="D45" s="6"/>
      <c r="E45" s="8"/>
      <c r="F45" s="6"/>
      <c r="G45" s="21"/>
    </row>
    <row r="46" spans="1:7" x14ac:dyDescent="0.25">
      <c r="A46" s="9"/>
      <c r="B46" s="10"/>
      <c r="C46" s="11"/>
      <c r="D46" s="9"/>
      <c r="E46" s="11"/>
      <c r="F46" s="9"/>
      <c r="G46" s="20"/>
    </row>
    <row r="47" spans="1:7" x14ac:dyDescent="0.25">
      <c r="A47" s="6"/>
      <c r="B47" s="7"/>
      <c r="C47" s="8"/>
      <c r="D47" s="6"/>
      <c r="E47" s="8"/>
      <c r="F47" s="6"/>
      <c r="G47" s="21"/>
    </row>
    <row r="48" spans="1:7" x14ac:dyDescent="0.25">
      <c r="A48" s="9"/>
      <c r="B48" s="10"/>
      <c r="C48" s="11"/>
      <c r="D48" s="9"/>
      <c r="E48" s="11"/>
      <c r="F48" s="9"/>
      <c r="G48" s="20"/>
    </row>
    <row r="49" spans="1:7" x14ac:dyDescent="0.25">
      <c r="A49" s="6"/>
      <c r="B49" s="7"/>
      <c r="C49" s="8"/>
      <c r="D49" s="6"/>
      <c r="E49" s="8"/>
      <c r="F49" s="6"/>
      <c r="G49" s="21"/>
    </row>
    <row r="50" spans="1:7" x14ac:dyDescent="0.25">
      <c r="A50" s="9"/>
      <c r="B50" s="10"/>
      <c r="C50" s="11"/>
      <c r="D50" s="9"/>
      <c r="E50" s="11"/>
      <c r="F50" s="9"/>
      <c r="G50" s="20"/>
    </row>
    <row r="51" spans="1:7" x14ac:dyDescent="0.25">
      <c r="A51" s="6"/>
      <c r="B51" s="7"/>
      <c r="C51" s="8"/>
      <c r="D51" s="6"/>
      <c r="E51" s="8"/>
      <c r="F51" s="6"/>
      <c r="G51" s="21"/>
    </row>
    <row r="52" spans="1:7" x14ac:dyDescent="0.25">
      <c r="A52" s="9"/>
      <c r="B52" s="10"/>
      <c r="C52" s="11"/>
      <c r="D52" s="9"/>
      <c r="E52" s="11"/>
      <c r="F52" s="9"/>
      <c r="G52" s="20"/>
    </row>
    <row r="53" spans="1:7" x14ac:dyDescent="0.25">
      <c r="A53" s="6"/>
      <c r="B53" s="7"/>
      <c r="C53" s="8"/>
      <c r="D53" s="6"/>
      <c r="E53" s="8"/>
      <c r="F53" s="6"/>
      <c r="G53" s="21"/>
    </row>
    <row r="54" spans="1:7" x14ac:dyDescent="0.25">
      <c r="A54" s="9"/>
      <c r="B54" s="10"/>
      <c r="C54" s="11"/>
      <c r="D54" s="9"/>
      <c r="E54" s="11"/>
      <c r="F54" s="9"/>
      <c r="G54" s="20"/>
    </row>
    <row r="55" spans="1:7" x14ac:dyDescent="0.25">
      <c r="A55" s="6"/>
      <c r="B55" s="7"/>
      <c r="C55" s="8"/>
      <c r="D55" s="6"/>
      <c r="E55" s="8"/>
      <c r="F55" s="6"/>
      <c r="G55" s="21"/>
    </row>
    <row r="56" spans="1:7" x14ac:dyDescent="0.25">
      <c r="A56" s="9"/>
      <c r="B56" s="10"/>
      <c r="C56" s="11"/>
      <c r="D56" s="9"/>
      <c r="E56" s="11"/>
      <c r="F56" s="9"/>
      <c r="G56" s="20"/>
    </row>
    <row r="57" spans="1:7" x14ac:dyDescent="0.25">
      <c r="A57" s="6"/>
      <c r="B57" s="7"/>
      <c r="C57" s="8"/>
      <c r="D57" s="6"/>
      <c r="E57" s="8"/>
      <c r="F57" s="6"/>
      <c r="G57" s="21"/>
    </row>
    <row r="58" spans="1:7" x14ac:dyDescent="0.25">
      <c r="A58" s="9"/>
      <c r="B58" s="10"/>
      <c r="C58" s="11"/>
      <c r="D58" s="9"/>
      <c r="E58" s="11"/>
      <c r="F58" s="9"/>
      <c r="G58" s="20"/>
    </row>
    <row r="59" spans="1:7" x14ac:dyDescent="0.25">
      <c r="A59" s="6"/>
      <c r="B59" s="7"/>
      <c r="C59" s="8"/>
      <c r="D59" s="6"/>
      <c r="E59" s="8"/>
      <c r="F59" s="6"/>
      <c r="G59" s="21"/>
    </row>
    <row r="60" spans="1:7" x14ac:dyDescent="0.25">
      <c r="A60" s="9"/>
      <c r="B60" s="10"/>
      <c r="C60" s="11"/>
      <c r="D60" s="9"/>
      <c r="E60" s="11"/>
      <c r="F60" s="9"/>
      <c r="G60" s="20"/>
    </row>
    <row r="61" spans="1:7" x14ac:dyDescent="0.25">
      <c r="A61" s="6"/>
      <c r="B61" s="7"/>
      <c r="C61" s="8"/>
      <c r="D61" s="6"/>
      <c r="E61" s="8"/>
      <c r="F61" s="6"/>
      <c r="G61" s="21"/>
    </row>
    <row r="62" spans="1:7" x14ac:dyDescent="0.25">
      <c r="A62" s="9"/>
      <c r="B62" s="10"/>
      <c r="C62" s="11"/>
      <c r="D62" s="9"/>
      <c r="E62" s="11"/>
      <c r="F62" s="9"/>
      <c r="G62" s="20"/>
    </row>
    <row r="63" spans="1:7" x14ac:dyDescent="0.25">
      <c r="A63" s="6"/>
      <c r="B63" s="7"/>
      <c r="C63" s="8"/>
      <c r="D63" s="6"/>
      <c r="E63" s="8"/>
      <c r="F63" s="6"/>
      <c r="G63" s="21"/>
    </row>
    <row r="64" spans="1:7" x14ac:dyDescent="0.25">
      <c r="A64" s="9"/>
      <c r="B64" s="10"/>
      <c r="C64" s="11"/>
      <c r="D64" s="9"/>
      <c r="E64" s="11"/>
      <c r="F64" s="9"/>
      <c r="G64" s="20"/>
    </row>
    <row r="65" spans="1:7" x14ac:dyDescent="0.25">
      <c r="A65" s="6"/>
      <c r="B65" s="7"/>
      <c r="C65" s="8"/>
      <c r="D65" s="6"/>
      <c r="E65" s="8"/>
      <c r="F65" s="6"/>
      <c r="G65" s="21"/>
    </row>
    <row r="66" spans="1:7" x14ac:dyDescent="0.25">
      <c r="A66" s="9"/>
      <c r="B66" s="10"/>
      <c r="C66" s="11"/>
      <c r="D66" s="9"/>
      <c r="E66" s="11"/>
      <c r="F66" s="9"/>
      <c r="G66" s="20"/>
    </row>
    <row r="67" spans="1:7" x14ac:dyDescent="0.25">
      <c r="A67" s="6"/>
      <c r="B67" s="7"/>
      <c r="C67" s="8"/>
      <c r="D67" s="6"/>
      <c r="E67" s="8"/>
      <c r="F67" s="6"/>
      <c r="G67" s="21"/>
    </row>
    <row r="68" spans="1:7" x14ac:dyDescent="0.25">
      <c r="A68" s="9"/>
      <c r="B68" s="10"/>
      <c r="C68" s="11"/>
      <c r="D68" s="9"/>
      <c r="E68" s="11"/>
      <c r="F68" s="9"/>
      <c r="G68" s="20"/>
    </row>
    <row r="69" spans="1:7" x14ac:dyDescent="0.25">
      <c r="A69" s="6"/>
      <c r="B69" s="7"/>
      <c r="C69" s="8"/>
      <c r="D69" s="6"/>
      <c r="E69" s="8"/>
      <c r="F69" s="6"/>
      <c r="G69" s="21"/>
    </row>
    <row r="70" spans="1:7" x14ac:dyDescent="0.25">
      <c r="A70" s="9"/>
      <c r="B70" s="10"/>
      <c r="C70" s="11"/>
      <c r="D70" s="9"/>
      <c r="E70" s="11"/>
      <c r="F70" s="9"/>
      <c r="G70" s="20"/>
    </row>
    <row r="71" spans="1:7" x14ac:dyDescent="0.25">
      <c r="A71" s="6"/>
      <c r="B71" s="7"/>
      <c r="C71" s="8"/>
      <c r="D71" s="6"/>
      <c r="E71" s="8"/>
      <c r="F71" s="6"/>
      <c r="G71" s="21"/>
    </row>
    <row r="72" spans="1:7" x14ac:dyDescent="0.25">
      <c r="A72" s="9"/>
      <c r="B72" s="10"/>
      <c r="C72" s="11"/>
      <c r="D72" s="9"/>
      <c r="E72" s="11"/>
      <c r="F72" s="9"/>
      <c r="G72" s="20"/>
    </row>
    <row r="73" spans="1:7" x14ac:dyDescent="0.25">
      <c r="A73" s="6"/>
      <c r="B73" s="7"/>
      <c r="C73" s="8"/>
      <c r="D73" s="6"/>
      <c r="E73" s="8"/>
      <c r="F73" s="6"/>
      <c r="G73" s="21"/>
    </row>
    <row r="74" spans="1:7" x14ac:dyDescent="0.25">
      <c r="A74" s="9"/>
      <c r="B74" s="10"/>
      <c r="C74" s="11"/>
      <c r="D74" s="9"/>
      <c r="E74" s="11"/>
      <c r="F74" s="9"/>
      <c r="G74" s="20"/>
    </row>
    <row r="75" spans="1:7" x14ac:dyDescent="0.25">
      <c r="A75" s="6"/>
      <c r="B75" s="7"/>
      <c r="C75" s="8"/>
      <c r="D75" s="6"/>
      <c r="E75" s="8"/>
      <c r="F75" s="6"/>
      <c r="G75" s="21"/>
    </row>
    <row r="76" spans="1:7" x14ac:dyDescent="0.25">
      <c r="A76" s="9"/>
      <c r="B76" s="10"/>
      <c r="C76" s="11"/>
      <c r="D76" s="9"/>
      <c r="E76" s="11"/>
      <c r="F76" s="9"/>
      <c r="G76" s="20"/>
    </row>
    <row r="77" spans="1:7" x14ac:dyDescent="0.25">
      <c r="A77" s="6"/>
      <c r="B77" s="7"/>
      <c r="C77" s="8"/>
      <c r="D77" s="6"/>
      <c r="E77" s="8"/>
      <c r="F77" s="6"/>
      <c r="G77" s="21"/>
    </row>
    <row r="78" spans="1:7" x14ac:dyDescent="0.25">
      <c r="A78" s="9"/>
      <c r="B78" s="10"/>
      <c r="C78" s="11"/>
      <c r="D78" s="9"/>
      <c r="E78" s="11"/>
      <c r="F78" s="9"/>
      <c r="G78" s="20"/>
    </row>
    <row r="79" spans="1:7" x14ac:dyDescent="0.25">
      <c r="A79" s="6"/>
      <c r="B79" s="7"/>
      <c r="C79" s="8"/>
      <c r="D79" s="6"/>
      <c r="E79" s="8"/>
      <c r="F79" s="6"/>
      <c r="G79" s="21"/>
    </row>
    <row r="80" spans="1:7" x14ac:dyDescent="0.25">
      <c r="A80" s="9"/>
      <c r="B80" s="10"/>
      <c r="C80" s="11"/>
      <c r="D80" s="9"/>
      <c r="E80" s="11"/>
      <c r="F80" s="9"/>
      <c r="G80" s="20"/>
    </row>
    <row r="81" spans="1:7" x14ac:dyDescent="0.25">
      <c r="A81" s="6"/>
      <c r="B81" s="7"/>
      <c r="C81" s="8"/>
      <c r="D81" s="6"/>
      <c r="E81" s="8"/>
      <c r="F81" s="6"/>
      <c r="G81" s="21"/>
    </row>
    <row r="82" spans="1:7" x14ac:dyDescent="0.25">
      <c r="A82" s="9"/>
      <c r="B82" s="10"/>
      <c r="C82" s="11"/>
      <c r="D82" s="9"/>
      <c r="E82" s="11"/>
      <c r="F82" s="9"/>
      <c r="G82" s="20"/>
    </row>
    <row r="83" spans="1:7" x14ac:dyDescent="0.25">
      <c r="A83" s="6"/>
      <c r="B83" s="7"/>
      <c r="C83" s="8"/>
      <c r="D83" s="6"/>
      <c r="E83" s="8"/>
      <c r="F83" s="6"/>
      <c r="G83" s="21"/>
    </row>
    <row r="84" spans="1:7" x14ac:dyDescent="0.25">
      <c r="A84" s="9"/>
      <c r="B84" s="10"/>
      <c r="C84" s="11"/>
      <c r="D84" s="9"/>
      <c r="E84" s="11"/>
      <c r="F84" s="9"/>
      <c r="G84" s="20"/>
    </row>
    <row r="85" spans="1:7" x14ac:dyDescent="0.25">
      <c r="A85" s="6"/>
      <c r="B85" s="7"/>
      <c r="C85" s="8"/>
      <c r="D85" s="6"/>
      <c r="E85" s="8"/>
      <c r="F85" s="6"/>
      <c r="G85" s="21"/>
    </row>
    <row r="86" spans="1:7" x14ac:dyDescent="0.25">
      <c r="A86" s="9"/>
      <c r="B86" s="10"/>
      <c r="C86" s="11"/>
      <c r="D86" s="9"/>
      <c r="E86" s="11"/>
      <c r="F86" s="9"/>
      <c r="G86" s="20"/>
    </row>
    <row r="87" spans="1:7" x14ac:dyDescent="0.25">
      <c r="A87" s="6"/>
      <c r="B87" s="7"/>
      <c r="C87" s="8"/>
      <c r="D87" s="6"/>
      <c r="E87" s="8"/>
      <c r="F87" s="6"/>
      <c r="G87" s="21"/>
    </row>
    <row r="88" spans="1:7" x14ac:dyDescent="0.25">
      <c r="A88" s="9"/>
      <c r="B88" s="10"/>
      <c r="C88" s="11"/>
      <c r="D88" s="9"/>
      <c r="E88" s="11"/>
      <c r="F88" s="9"/>
      <c r="G88" s="20"/>
    </row>
    <row r="89" spans="1:7" x14ac:dyDescent="0.25">
      <c r="A89" s="6"/>
      <c r="B89" s="7"/>
      <c r="C89" s="8"/>
      <c r="D89" s="6"/>
      <c r="E89" s="8"/>
      <c r="F89" s="6"/>
      <c r="G89" s="21"/>
    </row>
    <row r="90" spans="1:7" x14ac:dyDescent="0.25">
      <c r="A90" s="9"/>
      <c r="B90" s="10"/>
      <c r="C90" s="11"/>
      <c r="D90" s="9"/>
      <c r="E90" s="11"/>
      <c r="F90" s="9"/>
      <c r="G90" s="20"/>
    </row>
    <row r="91" spans="1:7" x14ac:dyDescent="0.25">
      <c r="A91" s="6"/>
      <c r="B91" s="7"/>
      <c r="C91" s="8"/>
      <c r="D91" s="6"/>
      <c r="E91" s="8"/>
      <c r="F91" s="6"/>
      <c r="G91" s="21"/>
    </row>
    <row r="92" spans="1:7" x14ac:dyDescent="0.25">
      <c r="A92" s="9"/>
      <c r="B92" s="10"/>
      <c r="C92" s="11"/>
      <c r="D92" s="9"/>
      <c r="E92" s="11"/>
      <c r="F92" s="9"/>
      <c r="G92" s="20"/>
    </row>
    <row r="93" spans="1:7" x14ac:dyDescent="0.25">
      <c r="A93" s="6"/>
      <c r="B93" s="7"/>
      <c r="C93" s="8"/>
      <c r="D93" s="6"/>
      <c r="E93" s="8"/>
      <c r="F93" s="6"/>
      <c r="G93" s="21"/>
    </row>
    <row r="94" spans="1:7" x14ac:dyDescent="0.25">
      <c r="A94" s="9"/>
      <c r="B94" s="10"/>
      <c r="C94" s="11"/>
      <c r="D94" s="9"/>
      <c r="E94" s="11"/>
      <c r="F94" s="9"/>
      <c r="G94" s="20"/>
    </row>
    <row r="95" spans="1:7" x14ac:dyDescent="0.25">
      <c r="A95" s="6"/>
      <c r="B95" s="7"/>
      <c r="C95" s="8"/>
      <c r="D95" s="6"/>
      <c r="E95" s="8"/>
      <c r="F95" s="6"/>
      <c r="G95" s="21"/>
    </row>
    <row r="96" spans="1:7" x14ac:dyDescent="0.25">
      <c r="A96" s="9"/>
      <c r="B96" s="10"/>
      <c r="C96" s="11"/>
      <c r="D96" s="9"/>
      <c r="E96" s="11"/>
      <c r="F96" s="9"/>
      <c r="G96" s="20"/>
    </row>
    <row r="97" spans="1:7" x14ac:dyDescent="0.25">
      <c r="A97" s="6"/>
      <c r="B97" s="7"/>
      <c r="C97" s="8"/>
      <c r="D97" s="6"/>
      <c r="E97" s="8"/>
      <c r="F97" s="6"/>
      <c r="G97" s="21"/>
    </row>
    <row r="98" spans="1:7" x14ac:dyDescent="0.25">
      <c r="A98" s="9"/>
      <c r="B98" s="10"/>
      <c r="C98" s="11"/>
      <c r="D98" s="9"/>
      <c r="E98" s="11"/>
      <c r="F98" s="9"/>
      <c r="G98" s="20"/>
    </row>
    <row r="99" spans="1:7" x14ac:dyDescent="0.25">
      <c r="A99" s="6"/>
      <c r="B99" s="7"/>
      <c r="C99" s="8"/>
      <c r="D99" s="6"/>
      <c r="E99" s="8"/>
      <c r="F99" s="6"/>
      <c r="G99" s="21"/>
    </row>
    <row r="100" spans="1:7" x14ac:dyDescent="0.25">
      <c r="A100" s="9"/>
      <c r="B100" s="10"/>
      <c r="C100" s="11"/>
      <c r="D100" s="9"/>
      <c r="E100" s="11"/>
      <c r="F100" s="9"/>
      <c r="G100" s="20"/>
    </row>
    <row r="101" spans="1:7" x14ac:dyDescent="0.25">
      <c r="A101" s="6"/>
      <c r="B101" s="7"/>
      <c r="C101" s="8"/>
      <c r="D101" s="6"/>
      <c r="E101" s="8"/>
      <c r="F101" s="6"/>
      <c r="G101" s="21"/>
    </row>
    <row r="102" spans="1:7" x14ac:dyDescent="0.25">
      <c r="A102" s="9"/>
      <c r="B102" s="10"/>
      <c r="C102" s="11"/>
      <c r="D102" s="9"/>
      <c r="E102" s="11"/>
      <c r="F102" s="9"/>
      <c r="G102" s="20"/>
    </row>
    <row r="103" spans="1:7" x14ac:dyDescent="0.25">
      <c r="A103" s="6"/>
      <c r="B103" s="7"/>
      <c r="C103" s="8"/>
      <c r="D103" s="6"/>
      <c r="E103" s="8"/>
      <c r="F103" s="6"/>
      <c r="G103" s="21"/>
    </row>
    <row r="104" spans="1:7" x14ac:dyDescent="0.25">
      <c r="A104" s="9"/>
      <c r="B104" s="10"/>
      <c r="C104" s="11"/>
      <c r="D104" s="9"/>
      <c r="E104" s="11"/>
      <c r="F104" s="9"/>
      <c r="G104" s="20"/>
    </row>
    <row r="105" spans="1:7" x14ac:dyDescent="0.25">
      <c r="A105" s="6"/>
      <c r="B105" s="7"/>
      <c r="C105" s="8"/>
      <c r="D105" s="6"/>
      <c r="E105" s="8"/>
      <c r="F105" s="6"/>
      <c r="G105" s="21"/>
    </row>
    <row r="106" spans="1:7" x14ac:dyDescent="0.25">
      <c r="A106" s="9"/>
      <c r="B106" s="10"/>
      <c r="C106" s="11"/>
      <c r="D106" s="9"/>
      <c r="E106" s="11"/>
      <c r="F106" s="9"/>
      <c r="G106" s="20"/>
    </row>
    <row r="107" spans="1:7" x14ac:dyDescent="0.25">
      <c r="A107" s="6"/>
      <c r="B107" s="7"/>
      <c r="C107" s="8"/>
      <c r="D107" s="6"/>
      <c r="E107" s="8"/>
      <c r="F107" s="6"/>
      <c r="G107" s="21"/>
    </row>
    <row r="108" spans="1:7" x14ac:dyDescent="0.25">
      <c r="A108" s="9"/>
      <c r="B108" s="10"/>
      <c r="C108" s="11"/>
      <c r="D108" s="9"/>
      <c r="E108" s="11"/>
      <c r="F108" s="9"/>
      <c r="G108" s="20"/>
    </row>
    <row r="109" spans="1:7" x14ac:dyDescent="0.25">
      <c r="A109" s="6"/>
      <c r="B109" s="7"/>
      <c r="C109" s="8"/>
      <c r="D109" s="6"/>
      <c r="E109" s="8"/>
      <c r="F109" s="6"/>
      <c r="G109" s="21"/>
    </row>
    <row r="110" spans="1:7" x14ac:dyDescent="0.25">
      <c r="A110" s="9"/>
      <c r="B110" s="10"/>
      <c r="C110" s="11"/>
      <c r="D110" s="9"/>
      <c r="E110" s="11"/>
      <c r="F110" s="9"/>
      <c r="G110" s="20"/>
    </row>
    <row r="111" spans="1:7" x14ac:dyDescent="0.25">
      <c r="A111" s="6"/>
      <c r="B111" s="7"/>
      <c r="C111" s="8"/>
      <c r="D111" s="6"/>
      <c r="E111" s="8"/>
      <c r="F111" s="6"/>
      <c r="G111" s="21"/>
    </row>
    <row r="112" spans="1:7" x14ac:dyDescent="0.25">
      <c r="A112" s="9"/>
      <c r="B112" s="10"/>
      <c r="C112" s="11"/>
      <c r="D112" s="9"/>
      <c r="E112" s="11"/>
      <c r="F112" s="9"/>
      <c r="G112" s="20"/>
    </row>
    <row r="113" spans="1:7" x14ac:dyDescent="0.25">
      <c r="A113" s="6"/>
      <c r="B113" s="7"/>
      <c r="C113" s="8"/>
      <c r="D113" s="6"/>
      <c r="E113" s="8"/>
      <c r="F113" s="6"/>
      <c r="G113" s="21"/>
    </row>
    <row r="114" spans="1:7" x14ac:dyDescent="0.25">
      <c r="A114" s="9"/>
      <c r="B114" s="10"/>
      <c r="C114" s="11"/>
      <c r="D114" s="9"/>
      <c r="E114" s="11"/>
      <c r="F114" s="9"/>
      <c r="G114" s="20"/>
    </row>
    <row r="115" spans="1:7" x14ac:dyDescent="0.25">
      <c r="A115" s="6"/>
      <c r="B115" s="7"/>
      <c r="C115" s="8"/>
      <c r="D115" s="6"/>
      <c r="E115" s="8"/>
      <c r="F115" s="6"/>
      <c r="G115" s="21"/>
    </row>
    <row r="116" spans="1:7" x14ac:dyDescent="0.25">
      <c r="A116" s="9"/>
      <c r="B116" s="10"/>
      <c r="C116" s="11"/>
      <c r="D116" s="9"/>
      <c r="E116" s="11"/>
      <c r="F116" s="9"/>
      <c r="G116" s="20"/>
    </row>
    <row r="117" spans="1:7" x14ac:dyDescent="0.25">
      <c r="A117" s="6"/>
      <c r="B117" s="7"/>
      <c r="C117" s="8"/>
      <c r="D117" s="6"/>
      <c r="E117" s="8"/>
      <c r="F117" s="6"/>
      <c r="G117" s="21"/>
    </row>
    <row r="118" spans="1:7" x14ac:dyDescent="0.25">
      <c r="A118" s="9"/>
      <c r="B118" s="10"/>
      <c r="C118" s="11"/>
      <c r="D118" s="9"/>
      <c r="E118" s="11"/>
      <c r="F118" s="9"/>
      <c r="G118" s="20"/>
    </row>
    <row r="119" spans="1:7" x14ac:dyDescent="0.25">
      <c r="A119" s="6"/>
      <c r="B119" s="7"/>
      <c r="C119" s="8"/>
      <c r="D119" s="6"/>
      <c r="E119" s="8"/>
      <c r="F119" s="6"/>
      <c r="G119" s="21"/>
    </row>
    <row r="120" spans="1:7" x14ac:dyDescent="0.25">
      <c r="A120" s="9"/>
      <c r="B120" s="10"/>
      <c r="C120" s="11"/>
      <c r="D120" s="9"/>
      <c r="E120" s="11"/>
      <c r="F120" s="9"/>
      <c r="G120" s="20"/>
    </row>
    <row r="121" spans="1:7" x14ac:dyDescent="0.25">
      <c r="A121" s="6"/>
      <c r="B121" s="7"/>
      <c r="C121" s="8"/>
      <c r="D121" s="6"/>
      <c r="E121" s="8"/>
      <c r="F121" s="6"/>
      <c r="G121" s="21"/>
    </row>
    <row r="122" spans="1:7" x14ac:dyDescent="0.25">
      <c r="A122" s="9"/>
      <c r="B122" s="10"/>
      <c r="C122" s="11"/>
      <c r="D122" s="9"/>
      <c r="E122" s="11"/>
      <c r="F122" s="9"/>
      <c r="G122" s="20"/>
    </row>
    <row r="123" spans="1:7" x14ac:dyDescent="0.25">
      <c r="A123" s="6"/>
      <c r="B123" s="7"/>
      <c r="C123" s="8"/>
      <c r="D123" s="6"/>
      <c r="E123" s="8"/>
      <c r="F123" s="6"/>
      <c r="G123" s="21"/>
    </row>
    <row r="124" spans="1:7" x14ac:dyDescent="0.25">
      <c r="A124" s="9"/>
      <c r="B124" s="10"/>
      <c r="C124" s="11"/>
      <c r="D124" s="9"/>
      <c r="E124" s="11"/>
      <c r="F124" s="9"/>
      <c r="G124" s="20"/>
    </row>
    <row r="125" spans="1:7" x14ac:dyDescent="0.25">
      <c r="A125" s="6"/>
      <c r="B125" s="7"/>
      <c r="C125" s="8"/>
      <c r="D125" s="6"/>
      <c r="E125" s="8"/>
      <c r="F125" s="6"/>
      <c r="G125" s="21"/>
    </row>
    <row r="126" spans="1:7" x14ac:dyDescent="0.25">
      <c r="A126" s="9"/>
      <c r="B126" s="10"/>
      <c r="C126" s="11"/>
      <c r="D126" s="9"/>
      <c r="E126" s="11"/>
      <c r="F126" s="9"/>
      <c r="G126" s="20"/>
    </row>
    <row r="127" spans="1:7" x14ac:dyDescent="0.25">
      <c r="A127" s="6"/>
      <c r="B127" s="7"/>
      <c r="C127" s="8"/>
      <c r="D127" s="6"/>
      <c r="E127" s="8"/>
      <c r="F127" s="6"/>
      <c r="G127" s="21"/>
    </row>
    <row r="128" spans="1:7" x14ac:dyDescent="0.25">
      <c r="A128" s="9"/>
      <c r="B128" s="10"/>
      <c r="C128" s="11"/>
      <c r="D128" s="9"/>
      <c r="E128" s="11"/>
      <c r="F128" s="9"/>
      <c r="G128" s="20"/>
    </row>
    <row r="129" spans="1:7" x14ac:dyDescent="0.25">
      <c r="A129" s="6"/>
      <c r="B129" s="7"/>
      <c r="C129" s="8"/>
      <c r="D129" s="6"/>
      <c r="E129" s="8"/>
      <c r="F129" s="6"/>
      <c r="G129" s="21"/>
    </row>
    <row r="130" spans="1:7" x14ac:dyDescent="0.25">
      <c r="A130" s="9"/>
      <c r="B130" s="10"/>
      <c r="C130" s="11"/>
      <c r="D130" s="9"/>
      <c r="E130" s="11"/>
      <c r="F130" s="9"/>
      <c r="G130" s="20"/>
    </row>
    <row r="131" spans="1:7" x14ac:dyDescent="0.25">
      <c r="A131" s="6"/>
      <c r="B131" s="7"/>
      <c r="C131" s="8"/>
      <c r="D131" s="6"/>
      <c r="E131" s="8"/>
      <c r="F131" s="6"/>
      <c r="G131" s="21"/>
    </row>
    <row r="132" spans="1:7" x14ac:dyDescent="0.25">
      <c r="A132" s="9"/>
      <c r="B132" s="10"/>
      <c r="C132" s="11"/>
      <c r="D132" s="9"/>
      <c r="E132" s="11"/>
      <c r="F132" s="9"/>
      <c r="G132" s="20"/>
    </row>
    <row r="133" spans="1:7" x14ac:dyDescent="0.25">
      <c r="A133" s="6"/>
      <c r="B133" s="7"/>
      <c r="C133" s="8"/>
      <c r="D133" s="6"/>
      <c r="E133" s="8"/>
      <c r="F133" s="6"/>
      <c r="G133" s="21"/>
    </row>
    <row r="134" spans="1:7" x14ac:dyDescent="0.25">
      <c r="A134" s="9"/>
      <c r="B134" s="10"/>
      <c r="C134" s="11"/>
      <c r="D134" s="9"/>
      <c r="E134" s="11"/>
      <c r="F134" s="9"/>
      <c r="G134" s="20"/>
    </row>
    <row r="135" spans="1:7" x14ac:dyDescent="0.25">
      <c r="A135" s="6"/>
      <c r="B135" s="7"/>
      <c r="C135" s="8"/>
      <c r="D135" s="6"/>
      <c r="E135" s="8"/>
      <c r="F135" s="6"/>
      <c r="G135" s="21"/>
    </row>
    <row r="136" spans="1:7" x14ac:dyDescent="0.25">
      <c r="A136" s="9"/>
      <c r="B136" s="10"/>
      <c r="C136" s="11"/>
      <c r="D136" s="9"/>
      <c r="E136" s="11"/>
      <c r="F136" s="9"/>
      <c r="G136" s="20"/>
    </row>
    <row r="137" spans="1:7" x14ac:dyDescent="0.25">
      <c r="A137" s="6"/>
      <c r="B137" s="7"/>
      <c r="C137" s="8"/>
      <c r="D137" s="6"/>
      <c r="E137" s="8"/>
      <c r="F137" s="6"/>
      <c r="G137" s="21"/>
    </row>
    <row r="138" spans="1:7" x14ac:dyDescent="0.25">
      <c r="A138" s="9"/>
      <c r="B138" s="10"/>
      <c r="C138" s="11"/>
      <c r="D138" s="9"/>
      <c r="E138" s="11"/>
      <c r="F138" s="9"/>
      <c r="G138" s="20"/>
    </row>
    <row r="139" spans="1:7" x14ac:dyDescent="0.25">
      <c r="A139" s="6"/>
      <c r="B139" s="7"/>
      <c r="C139" s="8"/>
      <c r="D139" s="6"/>
      <c r="E139" s="8"/>
      <c r="F139" s="6"/>
      <c r="G139" s="21"/>
    </row>
    <row r="140" spans="1:7" x14ac:dyDescent="0.25">
      <c r="A140" s="9"/>
      <c r="B140" s="10"/>
      <c r="C140" s="11"/>
      <c r="D140" s="9"/>
      <c r="E140" s="11"/>
      <c r="F140" s="9"/>
      <c r="G140" s="20"/>
    </row>
    <row r="141" spans="1:7" x14ac:dyDescent="0.25">
      <c r="A141" s="6"/>
      <c r="B141" s="7"/>
      <c r="C141" s="8"/>
      <c r="D141" s="6"/>
      <c r="E141" s="8"/>
      <c r="F141" s="6"/>
      <c r="G141" s="21"/>
    </row>
    <row r="142" spans="1:7" x14ac:dyDescent="0.25">
      <c r="A142" s="9"/>
      <c r="B142" s="10"/>
      <c r="C142" s="11"/>
      <c r="D142" s="9"/>
      <c r="E142" s="11"/>
      <c r="F142" s="9"/>
      <c r="G142" s="20"/>
    </row>
    <row r="143" spans="1:7" x14ac:dyDescent="0.25">
      <c r="A143" s="6"/>
      <c r="B143" s="7"/>
      <c r="C143" s="8"/>
      <c r="D143" s="6"/>
      <c r="E143" s="8"/>
      <c r="F143" s="6"/>
      <c r="G143" s="21"/>
    </row>
    <row r="144" spans="1:7" x14ac:dyDescent="0.25">
      <c r="A144" s="9"/>
      <c r="B144" s="10"/>
      <c r="C144" s="11"/>
      <c r="D144" s="9"/>
      <c r="E144" s="11"/>
      <c r="F144" s="9"/>
      <c r="G144" s="20"/>
    </row>
    <row r="145" spans="1:7" x14ac:dyDescent="0.25">
      <c r="A145" s="6"/>
      <c r="B145" s="7"/>
      <c r="C145" s="8"/>
      <c r="D145" s="6"/>
      <c r="E145" s="8"/>
      <c r="F145" s="6"/>
      <c r="G145" s="21"/>
    </row>
    <row r="146" spans="1:7" x14ac:dyDescent="0.25">
      <c r="A146" s="9"/>
      <c r="B146" s="10"/>
      <c r="C146" s="11"/>
      <c r="D146" s="9"/>
      <c r="E146" s="11"/>
      <c r="F146" s="9"/>
      <c r="G146" s="20"/>
    </row>
    <row r="147" spans="1:7" x14ac:dyDescent="0.25">
      <c r="A147" s="6"/>
      <c r="B147" s="7"/>
      <c r="C147" s="8"/>
      <c r="D147" s="6"/>
      <c r="E147" s="8"/>
      <c r="F147" s="6"/>
      <c r="G147" s="21"/>
    </row>
    <row r="148" spans="1:7" x14ac:dyDescent="0.25">
      <c r="A148" s="9"/>
      <c r="B148" s="10"/>
      <c r="C148" s="11"/>
      <c r="D148" s="9"/>
      <c r="E148" s="11"/>
      <c r="F148" s="9"/>
      <c r="G148" s="20"/>
    </row>
    <row r="149" spans="1:7" x14ac:dyDescent="0.25">
      <c r="A149" s="6"/>
      <c r="B149" s="7"/>
      <c r="C149" s="8"/>
      <c r="D149" s="6"/>
      <c r="E149" s="8"/>
      <c r="F149" s="6"/>
      <c r="G149" s="21"/>
    </row>
    <row r="150" spans="1:7" x14ac:dyDescent="0.25">
      <c r="A150" s="9"/>
      <c r="B150" s="10"/>
      <c r="C150" s="11"/>
      <c r="D150" s="9"/>
      <c r="E150" s="11"/>
      <c r="F150" s="9"/>
      <c r="G150" s="20"/>
    </row>
    <row r="151" spans="1:7" x14ac:dyDescent="0.25">
      <c r="A151" s="6"/>
      <c r="B151" s="7"/>
      <c r="C151" s="8"/>
      <c r="D151" s="6"/>
      <c r="E151" s="8"/>
      <c r="F151" s="6"/>
      <c r="G151" s="21"/>
    </row>
    <row r="152" spans="1:7" x14ac:dyDescent="0.25">
      <c r="A152" s="9"/>
      <c r="B152" s="10"/>
      <c r="C152" s="11"/>
      <c r="D152" s="9"/>
      <c r="E152" s="11"/>
      <c r="F152" s="9"/>
      <c r="G152" s="20"/>
    </row>
    <row r="153" spans="1:7" x14ac:dyDescent="0.25">
      <c r="A153" s="6"/>
      <c r="B153" s="7"/>
      <c r="C153" s="8"/>
      <c r="D153" s="6"/>
      <c r="E153" s="8"/>
      <c r="F153" s="6"/>
      <c r="G153" s="21"/>
    </row>
    <row r="154" spans="1:7" x14ac:dyDescent="0.25">
      <c r="A154" s="9"/>
      <c r="B154" s="10"/>
      <c r="C154" s="11"/>
      <c r="D154" s="9"/>
      <c r="E154" s="11"/>
      <c r="F154" s="9"/>
      <c r="G154" s="20"/>
    </row>
    <row r="155" spans="1:7" x14ac:dyDescent="0.25">
      <c r="A155" s="6"/>
      <c r="B155" s="7"/>
      <c r="C155" s="8"/>
      <c r="D155" s="6"/>
      <c r="E155" s="8"/>
      <c r="F155" s="6"/>
      <c r="G155" s="21"/>
    </row>
    <row r="156" spans="1:7" x14ac:dyDescent="0.25">
      <c r="A156" s="9"/>
      <c r="B156" s="10"/>
      <c r="C156" s="11"/>
      <c r="D156" s="9"/>
      <c r="E156" s="11"/>
      <c r="F156" s="9"/>
      <c r="G156" s="22"/>
    </row>
    <row r="157" spans="1:7" x14ac:dyDescent="0.25">
      <c r="A157" s="6"/>
      <c r="B157" s="7"/>
      <c r="C157" s="8"/>
      <c r="D157" s="6"/>
      <c r="E157" s="8"/>
      <c r="F157" s="6"/>
    </row>
  </sheetData>
  <mergeCells count="13">
    <mergeCell ref="B9:C10"/>
    <mergeCell ref="A9:A10"/>
    <mergeCell ref="L3:S5"/>
    <mergeCell ref="A5:B7"/>
    <mergeCell ref="G8:H8"/>
    <mergeCell ref="A1:H2"/>
    <mergeCell ref="A8:B8"/>
    <mergeCell ref="E8:F8"/>
    <mergeCell ref="C8:D8"/>
    <mergeCell ref="A3:H3"/>
    <mergeCell ref="C5:D7"/>
    <mergeCell ref="G5:H7"/>
    <mergeCell ref="E5:F7"/>
  </mergeCells>
  <conditionalFormatting sqref="F13:F157">
    <cfRule type="expression" dxfId="3" priority="1">
      <formula>F13="إجازة"</formula>
    </cfRule>
    <cfRule type="expression" dxfId="2" priority="2">
      <formula>F13="منقول"</formula>
    </cfRule>
  </conditionalFormatting>
  <pageMargins left="0.75" right="0.75" top="1" bottom="1" header="0.5" footer="0.5"/>
  <pageSetup scale="115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7A7292-A2D0-4BFB-9322-AC7DAE1E2418}">
          <x14:formula1>
            <xm:f>cheet1!$D:$D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orksheet____2"/>
  <dimension ref="A1:N150"/>
  <sheetViews>
    <sheetView rightToLeft="1" workbookViewId="0">
      <pane ySplit="1" topLeftCell="A24" activePane="bottomLeft" state="frozen"/>
      <selection pane="bottomLeft" activeCell="G37" sqref="G37"/>
    </sheetView>
  </sheetViews>
  <sheetFormatPr defaultRowHeight="15" x14ac:dyDescent="0.25"/>
  <cols>
    <col min="1" max="1" width="14" customWidth="1"/>
    <col min="2" max="2" width="34" customWidth="1"/>
    <col min="3" max="4" width="20" customWidth="1"/>
    <col min="5" max="5" width="18" customWidth="1"/>
    <col min="6" max="6" width="15" hidden="1" customWidth="1"/>
    <col min="7" max="7" width="35" customWidth="1"/>
    <col min="14" max="14" width="20" style="12" customWidth="1"/>
  </cols>
  <sheetData>
    <row r="1" spans="1:14" x14ac:dyDescent="0.25">
      <c r="A1" s="13" t="s">
        <v>73</v>
      </c>
      <c r="B1" s="5" t="s">
        <v>74</v>
      </c>
      <c r="C1" s="5" t="s">
        <v>9</v>
      </c>
      <c r="D1" s="5" t="s">
        <v>8</v>
      </c>
      <c r="E1" s="5" t="s">
        <v>10</v>
      </c>
      <c r="F1" s="5" t="s">
        <v>504</v>
      </c>
      <c r="G1" s="1" t="s">
        <v>11</v>
      </c>
      <c r="N1" s="5"/>
    </row>
    <row r="2" spans="1:14" x14ac:dyDescent="0.25">
      <c r="A2" s="14">
        <v>1</v>
      </c>
      <c r="B2" s="7" t="s">
        <v>75</v>
      </c>
      <c r="C2" s="8" t="s">
        <v>35</v>
      </c>
      <c r="D2" s="6" t="s">
        <v>76</v>
      </c>
      <c r="E2" s="8" t="s">
        <v>54</v>
      </c>
      <c r="F2" s="6"/>
      <c r="N2" s="6"/>
    </row>
    <row r="3" spans="1:14" x14ac:dyDescent="0.25">
      <c r="A3" s="15">
        <v>2</v>
      </c>
      <c r="B3" s="10" t="s">
        <v>77</v>
      </c>
      <c r="C3" s="11" t="s">
        <v>36</v>
      </c>
      <c r="D3" s="9" t="s">
        <v>76</v>
      </c>
      <c r="E3" s="11" t="s">
        <v>55</v>
      </c>
      <c r="F3" s="9"/>
      <c r="N3" s="9"/>
    </row>
    <row r="4" spans="1:14" x14ac:dyDescent="0.25">
      <c r="A4" s="14">
        <v>3</v>
      </c>
      <c r="B4" s="7" t="s">
        <v>78</v>
      </c>
      <c r="C4" s="8" t="s">
        <v>37</v>
      </c>
      <c r="D4" s="6" t="s">
        <v>76</v>
      </c>
      <c r="E4" s="8" t="s">
        <v>56</v>
      </c>
      <c r="F4" s="6"/>
      <c r="N4" s="9"/>
    </row>
    <row r="5" spans="1:14" x14ac:dyDescent="0.25">
      <c r="A5" s="15">
        <v>4</v>
      </c>
      <c r="B5" s="10" t="s">
        <v>79</v>
      </c>
      <c r="C5" s="11" t="s">
        <v>38</v>
      </c>
      <c r="D5" s="9" t="s">
        <v>76</v>
      </c>
      <c r="E5" s="11" t="s">
        <v>57</v>
      </c>
      <c r="F5" s="9"/>
      <c r="N5" s="9"/>
    </row>
    <row r="6" spans="1:14" x14ac:dyDescent="0.25">
      <c r="A6" s="14">
        <v>5</v>
      </c>
      <c r="B6" s="7" t="s">
        <v>80</v>
      </c>
      <c r="C6" s="8" t="s">
        <v>39</v>
      </c>
      <c r="D6" s="6" t="s">
        <v>76</v>
      </c>
      <c r="E6" s="8" t="s">
        <v>58</v>
      </c>
      <c r="F6" s="6"/>
      <c r="N6" s="6"/>
    </row>
    <row r="7" spans="1:14" x14ac:dyDescent="0.25">
      <c r="A7" s="15">
        <v>6</v>
      </c>
      <c r="B7" s="10" t="s">
        <v>81</v>
      </c>
      <c r="C7" s="11" t="s">
        <v>40</v>
      </c>
      <c r="D7" s="9" t="s">
        <v>76</v>
      </c>
      <c r="E7" s="11" t="s">
        <v>59</v>
      </c>
      <c r="F7" s="9"/>
      <c r="N7" s="9"/>
    </row>
    <row r="8" spans="1:14" x14ac:dyDescent="0.25">
      <c r="A8" s="14">
        <v>7</v>
      </c>
      <c r="B8" s="7" t="s">
        <v>82</v>
      </c>
      <c r="C8" s="8" t="s">
        <v>41</v>
      </c>
      <c r="D8" s="6" t="s">
        <v>76</v>
      </c>
      <c r="E8" s="8" t="s">
        <v>60</v>
      </c>
      <c r="F8" s="6"/>
      <c r="N8" s="9"/>
    </row>
    <row r="9" spans="1:14" x14ac:dyDescent="0.25">
      <c r="A9" s="15">
        <v>8</v>
      </c>
      <c r="B9" s="10" t="s">
        <v>83</v>
      </c>
      <c r="C9" s="11" t="s">
        <v>42</v>
      </c>
      <c r="D9" s="9" t="s">
        <v>76</v>
      </c>
      <c r="E9" s="11" t="s">
        <v>61</v>
      </c>
      <c r="F9" s="9"/>
      <c r="N9" s="9"/>
    </row>
    <row r="10" spans="1:14" x14ac:dyDescent="0.25">
      <c r="A10" s="14">
        <v>9</v>
      </c>
      <c r="B10" s="7" t="s">
        <v>84</v>
      </c>
      <c r="C10" s="8" t="s">
        <v>43</v>
      </c>
      <c r="D10" s="6" t="s">
        <v>76</v>
      </c>
      <c r="E10" s="8" t="s">
        <v>62</v>
      </c>
      <c r="F10" s="6"/>
      <c r="N10" s="6"/>
    </row>
    <row r="11" spans="1:14" x14ac:dyDescent="0.25">
      <c r="A11" s="15">
        <v>10</v>
      </c>
      <c r="B11" s="10" t="s">
        <v>85</v>
      </c>
      <c r="C11" s="11" t="s">
        <v>44</v>
      </c>
      <c r="D11" s="9" t="s">
        <v>76</v>
      </c>
      <c r="E11" s="11" t="s">
        <v>63</v>
      </c>
      <c r="F11" s="9"/>
      <c r="N11" s="9"/>
    </row>
    <row r="12" spans="1:14" x14ac:dyDescent="0.25">
      <c r="A12" s="14">
        <v>11</v>
      </c>
      <c r="B12" s="7" t="s">
        <v>86</v>
      </c>
      <c r="C12" s="8" t="s">
        <v>45</v>
      </c>
      <c r="D12" s="6" t="s">
        <v>76</v>
      </c>
      <c r="E12" s="8" t="s">
        <v>64</v>
      </c>
      <c r="F12" s="6"/>
      <c r="N12" s="9"/>
    </row>
    <row r="13" spans="1:14" x14ac:dyDescent="0.25">
      <c r="A13" s="15">
        <v>12</v>
      </c>
      <c r="B13" s="10" t="s">
        <v>87</v>
      </c>
      <c r="C13" s="11" t="s">
        <v>46</v>
      </c>
      <c r="D13" s="9" t="s">
        <v>88</v>
      </c>
      <c r="E13" s="11" t="s">
        <v>65</v>
      </c>
      <c r="F13" s="9"/>
      <c r="N13" s="9"/>
    </row>
    <row r="14" spans="1:14" x14ac:dyDescent="0.25">
      <c r="A14" s="14">
        <v>13</v>
      </c>
      <c r="B14" s="7" t="s">
        <v>89</v>
      </c>
      <c r="C14" s="8" t="s">
        <v>47</v>
      </c>
      <c r="D14" s="6" t="s">
        <v>88</v>
      </c>
      <c r="E14" s="8" t="s">
        <v>66</v>
      </c>
      <c r="F14" s="6"/>
      <c r="N14" s="6"/>
    </row>
    <row r="15" spans="1:14" x14ac:dyDescent="0.25">
      <c r="A15" s="15">
        <v>14</v>
      </c>
      <c r="B15" s="10" t="s">
        <v>90</v>
      </c>
      <c r="C15" s="11" t="s">
        <v>48</v>
      </c>
      <c r="D15" s="9" t="s">
        <v>88</v>
      </c>
      <c r="E15" s="11" t="s">
        <v>67</v>
      </c>
      <c r="F15" s="9"/>
      <c r="N15" s="9"/>
    </row>
    <row r="16" spans="1:14" x14ac:dyDescent="0.25">
      <c r="A16" s="14">
        <v>15</v>
      </c>
      <c r="B16" s="7" t="s">
        <v>91</v>
      </c>
      <c r="C16" s="8" t="s">
        <v>49</v>
      </c>
      <c r="D16" s="6" t="s">
        <v>88</v>
      </c>
      <c r="E16" s="8" t="s">
        <v>68</v>
      </c>
      <c r="F16" s="6"/>
      <c r="N16" s="9"/>
    </row>
    <row r="17" spans="1:14" x14ac:dyDescent="0.25">
      <c r="A17" s="15">
        <v>16</v>
      </c>
      <c r="B17" s="10" t="s">
        <v>92</v>
      </c>
      <c r="C17" s="11" t="s">
        <v>50</v>
      </c>
      <c r="D17" s="9" t="s">
        <v>93</v>
      </c>
      <c r="E17" s="11" t="s">
        <v>69</v>
      </c>
      <c r="F17" s="9"/>
      <c r="N17" s="9"/>
    </row>
    <row r="18" spans="1:14" x14ac:dyDescent="0.25">
      <c r="A18" s="14">
        <v>17</v>
      </c>
      <c r="B18" s="7" t="s">
        <v>94</v>
      </c>
      <c r="C18" s="8" t="s">
        <v>51</v>
      </c>
      <c r="D18" s="6" t="s">
        <v>93</v>
      </c>
      <c r="E18" s="8" t="s">
        <v>70</v>
      </c>
      <c r="F18" s="6"/>
      <c r="N18" s="9"/>
    </row>
    <row r="19" spans="1:14" x14ac:dyDescent="0.25">
      <c r="A19" s="15">
        <v>18</v>
      </c>
      <c r="B19" s="10" t="s">
        <v>95</v>
      </c>
      <c r="C19" s="11" t="s">
        <v>52</v>
      </c>
      <c r="D19" s="9" t="s">
        <v>93</v>
      </c>
      <c r="E19" s="11" t="s">
        <v>71</v>
      </c>
      <c r="F19" s="9"/>
      <c r="N19" s="6"/>
    </row>
    <row r="20" spans="1:14" x14ac:dyDescent="0.25">
      <c r="A20" s="14">
        <v>19</v>
      </c>
      <c r="B20" s="7" t="s">
        <v>96</v>
      </c>
      <c r="C20" s="8" t="s">
        <v>53</v>
      </c>
      <c r="D20" s="6" t="s">
        <v>93</v>
      </c>
      <c r="E20" s="8" t="s">
        <v>72</v>
      </c>
      <c r="F20" s="6"/>
      <c r="N20" s="9"/>
    </row>
    <row r="21" spans="1:14" x14ac:dyDescent="0.25">
      <c r="A21" s="15">
        <v>20</v>
      </c>
      <c r="B21" s="10" t="s">
        <v>97</v>
      </c>
      <c r="C21" s="11" t="s">
        <v>98</v>
      </c>
      <c r="D21" s="9" t="s">
        <v>99</v>
      </c>
      <c r="E21" s="11" t="s">
        <v>100</v>
      </c>
      <c r="F21" s="9"/>
      <c r="N21" s="9"/>
    </row>
    <row r="22" spans="1:14" x14ac:dyDescent="0.25">
      <c r="A22" s="14">
        <v>21</v>
      </c>
      <c r="B22" s="7" t="s">
        <v>101</v>
      </c>
      <c r="C22" s="8" t="s">
        <v>102</v>
      </c>
      <c r="D22" s="6" t="s">
        <v>99</v>
      </c>
      <c r="E22" s="8" t="s">
        <v>103</v>
      </c>
      <c r="F22" s="6"/>
      <c r="N22" s="6"/>
    </row>
    <row r="23" spans="1:14" x14ac:dyDescent="0.25">
      <c r="A23" s="15">
        <v>22</v>
      </c>
      <c r="B23" s="10" t="s">
        <v>104</v>
      </c>
      <c r="C23" s="11" t="s">
        <v>105</v>
      </c>
      <c r="D23" s="9" t="s">
        <v>99</v>
      </c>
      <c r="E23" s="11" t="s">
        <v>106</v>
      </c>
      <c r="F23" s="9"/>
      <c r="N23" s="6"/>
    </row>
    <row r="24" spans="1:14" x14ac:dyDescent="0.25">
      <c r="A24" s="14">
        <v>23</v>
      </c>
      <c r="B24" s="7" t="s">
        <v>107</v>
      </c>
      <c r="C24" s="8" t="s">
        <v>108</v>
      </c>
      <c r="D24" s="6" t="s">
        <v>405</v>
      </c>
      <c r="E24" s="8" t="s">
        <v>109</v>
      </c>
      <c r="F24" s="6"/>
      <c r="G24" t="s">
        <v>522</v>
      </c>
      <c r="N24" s="9"/>
    </row>
    <row r="25" spans="1:14" x14ac:dyDescent="0.25">
      <c r="A25" s="15">
        <v>24</v>
      </c>
      <c r="B25" s="10" t="s">
        <v>110</v>
      </c>
      <c r="C25" s="11" t="s">
        <v>111</v>
      </c>
      <c r="D25" s="9" t="s">
        <v>99</v>
      </c>
      <c r="E25" s="11" t="s">
        <v>112</v>
      </c>
      <c r="F25" s="9"/>
      <c r="N25" s="9"/>
    </row>
    <row r="26" spans="1:14" x14ac:dyDescent="0.25">
      <c r="A26" s="14">
        <v>25</v>
      </c>
      <c r="B26" s="7" t="s">
        <v>113</v>
      </c>
      <c r="C26" s="8" t="s">
        <v>114</v>
      </c>
      <c r="D26" s="6" t="s">
        <v>115</v>
      </c>
      <c r="E26" s="8" t="s">
        <v>116</v>
      </c>
      <c r="F26" s="6"/>
      <c r="N26" s="6"/>
    </row>
    <row r="27" spans="1:14" x14ac:dyDescent="0.25">
      <c r="A27" s="15">
        <v>26</v>
      </c>
      <c r="B27" s="10" t="s">
        <v>117</v>
      </c>
      <c r="C27" s="11" t="s">
        <v>118</v>
      </c>
      <c r="D27" s="9" t="s">
        <v>115</v>
      </c>
      <c r="E27" s="11" t="s">
        <v>119</v>
      </c>
      <c r="F27" s="9"/>
      <c r="N27" s="6"/>
    </row>
    <row r="28" spans="1:14" x14ac:dyDescent="0.25">
      <c r="A28" s="14">
        <v>27</v>
      </c>
      <c r="B28" s="7" t="s">
        <v>120</v>
      </c>
      <c r="C28" s="8" t="s">
        <v>121</v>
      </c>
      <c r="D28" s="6" t="s">
        <v>115</v>
      </c>
      <c r="E28" s="8" t="s">
        <v>122</v>
      </c>
      <c r="F28" s="6"/>
      <c r="N28" s="6"/>
    </row>
    <row r="29" spans="1:14" x14ac:dyDescent="0.25">
      <c r="A29" s="15">
        <v>28</v>
      </c>
      <c r="B29" s="10" t="s">
        <v>123</v>
      </c>
      <c r="C29" s="11" t="s">
        <v>124</v>
      </c>
      <c r="D29" s="9" t="s">
        <v>115</v>
      </c>
      <c r="E29" s="11" t="s">
        <v>125</v>
      </c>
      <c r="F29" s="9"/>
      <c r="N29" s="6"/>
    </row>
    <row r="30" spans="1:14" x14ac:dyDescent="0.25">
      <c r="A30" s="14">
        <v>29</v>
      </c>
      <c r="B30" s="7" t="s">
        <v>126</v>
      </c>
      <c r="C30" s="8" t="s">
        <v>127</v>
      </c>
      <c r="D30" s="6" t="s">
        <v>115</v>
      </c>
      <c r="E30" s="8" t="s">
        <v>128</v>
      </c>
      <c r="F30" s="6"/>
      <c r="N30"/>
    </row>
    <row r="31" spans="1:14" x14ac:dyDescent="0.25">
      <c r="A31" s="15">
        <v>30</v>
      </c>
      <c r="B31" s="10" t="s">
        <v>129</v>
      </c>
      <c r="C31" s="11" t="s">
        <v>130</v>
      </c>
      <c r="D31" s="9" t="s">
        <v>131</v>
      </c>
      <c r="E31" s="11" t="s">
        <v>132</v>
      </c>
      <c r="F31" s="9"/>
      <c r="N31"/>
    </row>
    <row r="32" spans="1:14" x14ac:dyDescent="0.25">
      <c r="A32" s="14">
        <v>31</v>
      </c>
      <c r="B32" s="7" t="s">
        <v>133</v>
      </c>
      <c r="C32" s="8" t="s">
        <v>134</v>
      </c>
      <c r="D32" s="6" t="s">
        <v>131</v>
      </c>
      <c r="E32" s="8" t="s">
        <v>135</v>
      </c>
      <c r="F32" s="6"/>
      <c r="N32"/>
    </row>
    <row r="33" spans="1:14" x14ac:dyDescent="0.25">
      <c r="A33" s="15">
        <v>32</v>
      </c>
      <c r="B33" s="10" t="s">
        <v>136</v>
      </c>
      <c r="C33" s="11" t="s">
        <v>137</v>
      </c>
      <c r="D33" s="9" t="s">
        <v>131</v>
      </c>
      <c r="E33" s="11" t="s">
        <v>138</v>
      </c>
      <c r="F33" s="9"/>
      <c r="N33"/>
    </row>
    <row r="34" spans="1:14" x14ac:dyDescent="0.25">
      <c r="A34" s="14">
        <v>33</v>
      </c>
      <c r="B34" s="7" t="s">
        <v>139</v>
      </c>
      <c r="C34" s="8" t="s">
        <v>140</v>
      </c>
      <c r="D34" s="6" t="s">
        <v>131</v>
      </c>
      <c r="E34" s="8" t="s">
        <v>141</v>
      </c>
      <c r="F34" s="6"/>
      <c r="N34"/>
    </row>
    <row r="35" spans="1:14" x14ac:dyDescent="0.25">
      <c r="A35" s="15">
        <v>34</v>
      </c>
      <c r="B35" s="10" t="s">
        <v>142</v>
      </c>
      <c r="C35" s="11" t="s">
        <v>143</v>
      </c>
      <c r="D35" s="9" t="s">
        <v>144</v>
      </c>
      <c r="E35" s="11" t="s">
        <v>145</v>
      </c>
      <c r="F35" s="9"/>
      <c r="N35"/>
    </row>
    <row r="36" spans="1:14" x14ac:dyDescent="0.25">
      <c r="A36" s="14">
        <v>35</v>
      </c>
      <c r="B36" s="7" t="s">
        <v>146</v>
      </c>
      <c r="C36" s="8" t="s">
        <v>147</v>
      </c>
      <c r="D36" s="6" t="s">
        <v>385</v>
      </c>
      <c r="E36" s="8" t="s">
        <v>148</v>
      </c>
      <c r="F36" s="6"/>
      <c r="G36" t="s">
        <v>523</v>
      </c>
      <c r="N36"/>
    </row>
    <row r="37" spans="1:14" x14ac:dyDescent="0.25">
      <c r="A37" s="15">
        <v>36</v>
      </c>
      <c r="B37" s="10" t="s">
        <v>149</v>
      </c>
      <c r="C37" s="11" t="s">
        <v>150</v>
      </c>
      <c r="D37" s="9" t="s">
        <v>144</v>
      </c>
      <c r="E37" s="11" t="s">
        <v>151</v>
      </c>
      <c r="F37" s="9"/>
      <c r="N37"/>
    </row>
    <row r="38" spans="1:14" x14ac:dyDescent="0.25">
      <c r="A38" s="14">
        <v>37</v>
      </c>
      <c r="B38" s="7" t="s">
        <v>152</v>
      </c>
      <c r="C38" s="8" t="s">
        <v>153</v>
      </c>
      <c r="D38" s="6" t="s">
        <v>144</v>
      </c>
      <c r="E38" s="8" t="s">
        <v>154</v>
      </c>
      <c r="F38" s="6"/>
      <c r="N38"/>
    </row>
    <row r="39" spans="1:14" x14ac:dyDescent="0.25">
      <c r="A39" s="15">
        <v>38</v>
      </c>
      <c r="B39" s="10" t="s">
        <v>155</v>
      </c>
      <c r="C39" s="11" t="s">
        <v>156</v>
      </c>
      <c r="D39" s="9" t="s">
        <v>157</v>
      </c>
      <c r="E39" s="11" t="s">
        <v>158</v>
      </c>
      <c r="F39" s="9"/>
      <c r="N39"/>
    </row>
    <row r="40" spans="1:14" x14ac:dyDescent="0.25">
      <c r="A40" s="14">
        <v>39</v>
      </c>
      <c r="B40" s="7" t="s">
        <v>159</v>
      </c>
      <c r="C40" s="8" t="s">
        <v>160</v>
      </c>
      <c r="D40" s="6" t="s">
        <v>157</v>
      </c>
      <c r="E40" s="8" t="s">
        <v>161</v>
      </c>
      <c r="F40" s="6"/>
      <c r="N40"/>
    </row>
    <row r="41" spans="1:14" x14ac:dyDescent="0.25">
      <c r="A41" s="15">
        <v>40</v>
      </c>
      <c r="B41" s="10" t="s">
        <v>162</v>
      </c>
      <c r="C41" s="11" t="s">
        <v>163</v>
      </c>
      <c r="D41" s="9" t="s">
        <v>157</v>
      </c>
      <c r="E41" s="11" t="s">
        <v>164</v>
      </c>
      <c r="F41" s="9"/>
      <c r="N41"/>
    </row>
    <row r="42" spans="1:14" x14ac:dyDescent="0.25">
      <c r="A42" s="14">
        <v>41</v>
      </c>
      <c r="B42" s="7" t="s">
        <v>165</v>
      </c>
      <c r="C42" s="8" t="s">
        <v>166</v>
      </c>
      <c r="D42" s="6" t="s">
        <v>157</v>
      </c>
      <c r="E42" s="8" t="s">
        <v>167</v>
      </c>
      <c r="F42" s="6"/>
      <c r="N42"/>
    </row>
    <row r="43" spans="1:14" x14ac:dyDescent="0.25">
      <c r="A43" s="15">
        <v>42</v>
      </c>
      <c r="B43" s="10" t="s">
        <v>168</v>
      </c>
      <c r="C43" s="11" t="s">
        <v>169</v>
      </c>
      <c r="D43" s="9" t="s">
        <v>157</v>
      </c>
      <c r="E43" s="11" t="s">
        <v>170</v>
      </c>
      <c r="F43" s="9"/>
      <c r="N43"/>
    </row>
    <row r="44" spans="1:14" x14ac:dyDescent="0.25">
      <c r="A44" s="14">
        <v>43</v>
      </c>
      <c r="B44" s="7" t="s">
        <v>171</v>
      </c>
      <c r="C44" s="8" t="s">
        <v>172</v>
      </c>
      <c r="D44" s="6" t="s">
        <v>157</v>
      </c>
      <c r="E44" s="8" t="s">
        <v>173</v>
      </c>
      <c r="F44" s="6"/>
      <c r="N44"/>
    </row>
    <row r="45" spans="1:14" x14ac:dyDescent="0.25">
      <c r="A45" s="15">
        <v>44</v>
      </c>
      <c r="B45" s="10" t="s">
        <v>174</v>
      </c>
      <c r="C45" s="11" t="s">
        <v>175</v>
      </c>
      <c r="D45" s="9" t="s">
        <v>157</v>
      </c>
      <c r="E45" s="11" t="s">
        <v>176</v>
      </c>
      <c r="F45" s="9"/>
      <c r="N45"/>
    </row>
    <row r="46" spans="1:14" x14ac:dyDescent="0.25">
      <c r="A46" s="14">
        <v>45</v>
      </c>
      <c r="B46" s="7" t="s">
        <v>177</v>
      </c>
      <c r="C46" s="8" t="s">
        <v>178</v>
      </c>
      <c r="D46" s="6" t="s">
        <v>157</v>
      </c>
      <c r="E46" s="8" t="s">
        <v>179</v>
      </c>
      <c r="F46" s="6"/>
      <c r="N46"/>
    </row>
    <row r="47" spans="1:14" x14ac:dyDescent="0.25">
      <c r="A47" s="15">
        <v>46</v>
      </c>
      <c r="B47" s="10" t="s">
        <v>180</v>
      </c>
      <c r="C47" s="11" t="s">
        <v>181</v>
      </c>
      <c r="D47" s="9" t="s">
        <v>157</v>
      </c>
      <c r="E47" s="11" t="s">
        <v>182</v>
      </c>
      <c r="F47" s="9"/>
      <c r="N47"/>
    </row>
    <row r="48" spans="1:14" x14ac:dyDescent="0.25">
      <c r="A48" s="14">
        <v>47</v>
      </c>
      <c r="B48" s="7" t="s">
        <v>183</v>
      </c>
      <c r="C48" s="8" t="s">
        <v>184</v>
      </c>
      <c r="D48" s="6" t="s">
        <v>157</v>
      </c>
      <c r="E48" s="8" t="s">
        <v>185</v>
      </c>
      <c r="F48" s="6"/>
      <c r="N48"/>
    </row>
    <row r="49" spans="1:14" x14ac:dyDescent="0.25">
      <c r="A49" s="15">
        <v>48</v>
      </c>
      <c r="B49" s="10" t="s">
        <v>186</v>
      </c>
      <c r="C49" s="11" t="s">
        <v>187</v>
      </c>
      <c r="D49" s="9" t="s">
        <v>157</v>
      </c>
      <c r="E49" s="11" t="s">
        <v>188</v>
      </c>
      <c r="F49" s="9"/>
      <c r="N49"/>
    </row>
    <row r="50" spans="1:14" x14ac:dyDescent="0.25">
      <c r="A50" s="14">
        <v>49</v>
      </c>
      <c r="B50" s="7" t="s">
        <v>189</v>
      </c>
      <c r="C50" s="8" t="s">
        <v>190</v>
      </c>
      <c r="D50" s="6" t="s">
        <v>505</v>
      </c>
      <c r="E50" s="8" t="s">
        <v>191</v>
      </c>
      <c r="F50" s="6"/>
      <c r="N50"/>
    </row>
    <row r="51" spans="1:14" x14ac:dyDescent="0.25">
      <c r="A51" s="15">
        <v>50</v>
      </c>
      <c r="B51" s="10" t="s">
        <v>192</v>
      </c>
      <c r="C51" s="11" t="s">
        <v>193</v>
      </c>
      <c r="D51" s="9" t="s">
        <v>505</v>
      </c>
      <c r="E51" s="11" t="s">
        <v>194</v>
      </c>
      <c r="F51" s="9"/>
      <c r="N51"/>
    </row>
    <row r="52" spans="1:14" x14ac:dyDescent="0.25">
      <c r="A52" s="14">
        <v>51</v>
      </c>
      <c r="B52" s="7" t="s">
        <v>195</v>
      </c>
      <c r="C52" s="8" t="s">
        <v>196</v>
      </c>
      <c r="D52" s="6" t="s">
        <v>505</v>
      </c>
      <c r="E52" s="8" t="s">
        <v>197</v>
      </c>
      <c r="F52" s="6"/>
      <c r="N52"/>
    </row>
    <row r="53" spans="1:14" x14ac:dyDescent="0.25">
      <c r="A53" s="15">
        <v>52</v>
      </c>
      <c r="B53" s="10" t="s">
        <v>198</v>
      </c>
      <c r="C53" s="11" t="s">
        <v>199</v>
      </c>
      <c r="D53" s="9" t="s">
        <v>505</v>
      </c>
      <c r="E53" s="11" t="s">
        <v>200</v>
      </c>
      <c r="F53" s="9"/>
      <c r="N53"/>
    </row>
    <row r="54" spans="1:14" x14ac:dyDescent="0.25">
      <c r="A54" s="14">
        <v>53</v>
      </c>
      <c r="B54" s="7" t="s">
        <v>201</v>
      </c>
      <c r="C54" s="8" t="s">
        <v>202</v>
      </c>
      <c r="D54" s="6" t="s">
        <v>505</v>
      </c>
      <c r="E54" s="8" t="s">
        <v>203</v>
      </c>
      <c r="F54" s="6"/>
      <c r="N54"/>
    </row>
    <row r="55" spans="1:14" x14ac:dyDescent="0.25">
      <c r="A55" s="15">
        <v>54</v>
      </c>
      <c r="B55" s="10" t="s">
        <v>204</v>
      </c>
      <c r="C55" s="11" t="s">
        <v>205</v>
      </c>
      <c r="D55" s="9" t="s">
        <v>505</v>
      </c>
      <c r="E55" s="11" t="s">
        <v>206</v>
      </c>
      <c r="F55" s="9"/>
      <c r="N55"/>
    </row>
    <row r="56" spans="1:14" x14ac:dyDescent="0.25">
      <c r="A56" s="14">
        <v>55</v>
      </c>
      <c r="B56" s="7" t="s">
        <v>207</v>
      </c>
      <c r="C56" s="8" t="s">
        <v>208</v>
      </c>
      <c r="D56" s="6" t="s">
        <v>505</v>
      </c>
      <c r="E56" s="8" t="s">
        <v>209</v>
      </c>
      <c r="F56" s="6"/>
      <c r="N56"/>
    </row>
    <row r="57" spans="1:14" x14ac:dyDescent="0.25">
      <c r="A57" s="15">
        <v>56</v>
      </c>
      <c r="B57" s="10" t="s">
        <v>210</v>
      </c>
      <c r="C57" s="11" t="s">
        <v>211</v>
      </c>
      <c r="D57" s="9" t="s">
        <v>505</v>
      </c>
      <c r="E57" s="11" t="s">
        <v>212</v>
      </c>
      <c r="F57" s="9"/>
      <c r="N57"/>
    </row>
    <row r="58" spans="1:14" x14ac:dyDescent="0.25">
      <c r="A58" s="14">
        <v>57</v>
      </c>
      <c r="B58" s="7" t="s">
        <v>213</v>
      </c>
      <c r="C58" s="8" t="s">
        <v>214</v>
      </c>
      <c r="D58" s="6" t="s">
        <v>505</v>
      </c>
      <c r="E58" s="8" t="s">
        <v>215</v>
      </c>
      <c r="F58" s="6"/>
      <c r="N58"/>
    </row>
    <row r="59" spans="1:14" x14ac:dyDescent="0.25">
      <c r="A59" s="15">
        <v>58</v>
      </c>
      <c r="B59" s="10" t="s">
        <v>216</v>
      </c>
      <c r="C59" s="11" t="s">
        <v>217</v>
      </c>
      <c r="D59" s="9" t="s">
        <v>505</v>
      </c>
      <c r="E59" s="11" t="s">
        <v>218</v>
      </c>
      <c r="F59" s="9"/>
      <c r="N59"/>
    </row>
    <row r="60" spans="1:14" x14ac:dyDescent="0.25">
      <c r="A60" s="14">
        <v>59</v>
      </c>
      <c r="B60" s="7" t="s">
        <v>219</v>
      </c>
      <c r="C60" s="8" t="s">
        <v>220</v>
      </c>
      <c r="D60" s="6" t="s">
        <v>505</v>
      </c>
      <c r="E60" s="8" t="s">
        <v>221</v>
      </c>
      <c r="F60" s="6"/>
      <c r="N60"/>
    </row>
    <row r="61" spans="1:14" x14ac:dyDescent="0.25">
      <c r="A61" s="15">
        <v>60</v>
      </c>
      <c r="B61" s="10" t="s">
        <v>222</v>
      </c>
      <c r="C61" s="11" t="s">
        <v>223</v>
      </c>
      <c r="D61" s="9" t="s">
        <v>505</v>
      </c>
      <c r="E61" s="11" t="s">
        <v>224</v>
      </c>
      <c r="F61" s="9"/>
      <c r="N61"/>
    </row>
    <row r="62" spans="1:14" x14ac:dyDescent="0.25">
      <c r="A62" s="14">
        <v>61</v>
      </c>
      <c r="B62" s="7" t="s">
        <v>225</v>
      </c>
      <c r="C62" s="8" t="s">
        <v>226</v>
      </c>
      <c r="D62" s="6" t="s">
        <v>505</v>
      </c>
      <c r="E62" s="8" t="s">
        <v>227</v>
      </c>
      <c r="F62" s="6"/>
      <c r="N62"/>
    </row>
    <row r="63" spans="1:14" x14ac:dyDescent="0.25">
      <c r="A63" s="15">
        <v>62</v>
      </c>
      <c r="B63" s="10" t="s">
        <v>228</v>
      </c>
      <c r="C63" s="11" t="s">
        <v>229</v>
      </c>
      <c r="D63" s="9" t="s">
        <v>505</v>
      </c>
      <c r="E63" s="11" t="s">
        <v>230</v>
      </c>
      <c r="F63" s="9"/>
      <c r="N63"/>
    </row>
    <row r="64" spans="1:14" x14ac:dyDescent="0.25">
      <c r="A64" s="14">
        <v>63</v>
      </c>
      <c r="B64" s="7" t="s">
        <v>231</v>
      </c>
      <c r="C64" s="8" t="s">
        <v>232</v>
      </c>
      <c r="D64" s="6" t="s">
        <v>505</v>
      </c>
      <c r="E64" s="8" t="s">
        <v>233</v>
      </c>
      <c r="F64" s="6"/>
      <c r="N64"/>
    </row>
    <row r="65" spans="1:14" x14ac:dyDescent="0.25">
      <c r="A65" s="15">
        <v>64</v>
      </c>
      <c r="B65" s="10" t="s">
        <v>234</v>
      </c>
      <c r="C65" s="11" t="s">
        <v>235</v>
      </c>
      <c r="D65" s="9" t="s">
        <v>236</v>
      </c>
      <c r="E65" s="11" t="s">
        <v>237</v>
      </c>
      <c r="F65" s="9"/>
      <c r="N65"/>
    </row>
    <row r="66" spans="1:14" x14ac:dyDescent="0.25">
      <c r="A66" s="14">
        <v>65</v>
      </c>
      <c r="B66" s="7" t="s">
        <v>238</v>
      </c>
      <c r="C66" s="8" t="s">
        <v>239</v>
      </c>
      <c r="D66" s="6" t="s">
        <v>236</v>
      </c>
      <c r="E66" s="8" t="s">
        <v>240</v>
      </c>
      <c r="F66" s="6"/>
      <c r="N66"/>
    </row>
    <row r="67" spans="1:14" x14ac:dyDescent="0.25">
      <c r="A67" s="15">
        <v>66</v>
      </c>
      <c r="B67" s="10" t="s">
        <v>241</v>
      </c>
      <c r="C67" s="11" t="s">
        <v>242</v>
      </c>
      <c r="D67" s="9" t="s">
        <v>236</v>
      </c>
      <c r="E67" s="11" t="s">
        <v>243</v>
      </c>
      <c r="F67" s="9"/>
      <c r="N67"/>
    </row>
    <row r="68" spans="1:14" x14ac:dyDescent="0.25">
      <c r="A68" s="14">
        <v>67</v>
      </c>
      <c r="B68" s="7" t="s">
        <v>244</v>
      </c>
      <c r="C68" s="8" t="s">
        <v>245</v>
      </c>
      <c r="D68" s="6" t="s">
        <v>236</v>
      </c>
      <c r="E68" s="8" t="s">
        <v>246</v>
      </c>
      <c r="F68" s="6"/>
      <c r="N68"/>
    </row>
    <row r="69" spans="1:14" x14ac:dyDescent="0.25">
      <c r="A69" s="15">
        <v>68</v>
      </c>
      <c r="B69" s="10" t="s">
        <v>247</v>
      </c>
      <c r="C69" s="11" t="s">
        <v>248</v>
      </c>
      <c r="D69" s="9" t="s">
        <v>249</v>
      </c>
      <c r="E69" s="11" t="s">
        <v>250</v>
      </c>
      <c r="F69" s="9"/>
      <c r="N69"/>
    </row>
    <row r="70" spans="1:14" x14ac:dyDescent="0.25">
      <c r="A70" s="14">
        <v>69</v>
      </c>
      <c r="B70" s="7" t="s">
        <v>251</v>
      </c>
      <c r="C70" s="8" t="s">
        <v>252</v>
      </c>
      <c r="D70" s="6" t="s">
        <v>249</v>
      </c>
      <c r="E70" s="8" t="s">
        <v>253</v>
      </c>
      <c r="F70" s="6"/>
      <c r="N70"/>
    </row>
    <row r="71" spans="1:14" x14ac:dyDescent="0.25">
      <c r="A71" s="15">
        <v>70</v>
      </c>
      <c r="B71" s="10" t="s">
        <v>254</v>
      </c>
      <c r="C71" s="11" t="s">
        <v>255</v>
      </c>
      <c r="D71" s="9" t="s">
        <v>256</v>
      </c>
      <c r="E71" s="11" t="s">
        <v>257</v>
      </c>
      <c r="F71" s="9"/>
      <c r="N71"/>
    </row>
    <row r="72" spans="1:14" x14ac:dyDescent="0.25">
      <c r="A72" s="14">
        <v>71</v>
      </c>
      <c r="B72" s="7" t="s">
        <v>258</v>
      </c>
      <c r="C72" s="8" t="s">
        <v>259</v>
      </c>
      <c r="D72" s="6" t="s">
        <v>256</v>
      </c>
      <c r="E72" s="8" t="s">
        <v>260</v>
      </c>
      <c r="F72" s="6"/>
      <c r="N72"/>
    </row>
    <row r="73" spans="1:14" x14ac:dyDescent="0.25">
      <c r="A73" s="15">
        <v>72</v>
      </c>
      <c r="B73" s="10" t="s">
        <v>261</v>
      </c>
      <c r="C73" s="11" t="s">
        <v>262</v>
      </c>
      <c r="D73" s="9" t="s">
        <v>256</v>
      </c>
      <c r="E73" s="11" t="s">
        <v>263</v>
      </c>
      <c r="F73" s="9"/>
      <c r="N73"/>
    </row>
    <row r="74" spans="1:14" x14ac:dyDescent="0.25">
      <c r="A74" s="14">
        <v>73</v>
      </c>
      <c r="B74" s="7" t="s">
        <v>264</v>
      </c>
      <c r="C74" s="8" t="s">
        <v>265</v>
      </c>
      <c r="D74" s="6" t="s">
        <v>266</v>
      </c>
      <c r="E74" s="8" t="s">
        <v>267</v>
      </c>
      <c r="F74" s="6"/>
      <c r="N74"/>
    </row>
    <row r="75" spans="1:14" x14ac:dyDescent="0.25">
      <c r="A75" s="15">
        <v>74</v>
      </c>
      <c r="B75" s="10" t="s">
        <v>268</v>
      </c>
      <c r="C75" s="11" t="s">
        <v>269</v>
      </c>
      <c r="D75" s="9" t="s">
        <v>266</v>
      </c>
      <c r="E75" s="11" t="s">
        <v>270</v>
      </c>
      <c r="F75" s="9"/>
      <c r="G75" t="s">
        <v>521</v>
      </c>
      <c r="N75"/>
    </row>
    <row r="76" spans="1:14" x14ac:dyDescent="0.25">
      <c r="A76" s="14">
        <v>75</v>
      </c>
      <c r="B76" s="7" t="s">
        <v>271</v>
      </c>
      <c r="C76" s="8" t="s">
        <v>272</v>
      </c>
      <c r="D76" s="6" t="s">
        <v>266</v>
      </c>
      <c r="E76" s="8" t="s">
        <v>273</v>
      </c>
      <c r="F76" s="6"/>
      <c r="N76"/>
    </row>
    <row r="77" spans="1:14" x14ac:dyDescent="0.25">
      <c r="A77" s="15">
        <v>76</v>
      </c>
      <c r="B77" s="10" t="s">
        <v>274</v>
      </c>
      <c r="C77" s="11" t="s">
        <v>275</v>
      </c>
      <c r="D77" s="9" t="s">
        <v>266</v>
      </c>
      <c r="E77" s="11" t="s">
        <v>276</v>
      </c>
      <c r="F77" s="9"/>
      <c r="N77"/>
    </row>
    <row r="78" spans="1:14" x14ac:dyDescent="0.25">
      <c r="A78" s="14">
        <v>77</v>
      </c>
      <c r="B78" s="7" t="s">
        <v>277</v>
      </c>
      <c r="C78" s="8" t="s">
        <v>278</v>
      </c>
      <c r="D78" s="6" t="s">
        <v>266</v>
      </c>
      <c r="E78" s="8" t="s">
        <v>279</v>
      </c>
      <c r="F78" s="6"/>
      <c r="N78"/>
    </row>
    <row r="79" spans="1:14" x14ac:dyDescent="0.25">
      <c r="A79" s="15">
        <v>78</v>
      </c>
      <c r="B79" s="10" t="s">
        <v>280</v>
      </c>
      <c r="C79" s="11" t="s">
        <v>281</v>
      </c>
      <c r="D79" s="9" t="s">
        <v>266</v>
      </c>
      <c r="E79" s="11" t="s">
        <v>282</v>
      </c>
      <c r="F79" s="9"/>
      <c r="N79"/>
    </row>
    <row r="80" spans="1:14" x14ac:dyDescent="0.25">
      <c r="A80" s="14">
        <v>79</v>
      </c>
      <c r="B80" s="7" t="s">
        <v>283</v>
      </c>
      <c r="C80" s="8" t="s">
        <v>284</v>
      </c>
      <c r="D80" s="6" t="s">
        <v>266</v>
      </c>
      <c r="E80" s="8" t="s">
        <v>285</v>
      </c>
      <c r="F80" s="6"/>
      <c r="N80"/>
    </row>
    <row r="81" spans="1:14" x14ac:dyDescent="0.25">
      <c r="A81" s="15">
        <v>80</v>
      </c>
      <c r="B81" s="10" t="s">
        <v>286</v>
      </c>
      <c r="C81" s="11" t="s">
        <v>287</v>
      </c>
      <c r="D81" s="9" t="s">
        <v>266</v>
      </c>
      <c r="E81" s="11" t="s">
        <v>288</v>
      </c>
      <c r="F81" s="9"/>
      <c r="N81"/>
    </row>
    <row r="82" spans="1:14" x14ac:dyDescent="0.25">
      <c r="A82" s="14">
        <v>81</v>
      </c>
      <c r="B82" s="7" t="s">
        <v>289</v>
      </c>
      <c r="C82" s="8" t="s">
        <v>290</v>
      </c>
      <c r="D82" s="6" t="s">
        <v>266</v>
      </c>
      <c r="E82" s="8" t="s">
        <v>291</v>
      </c>
      <c r="F82" s="6"/>
      <c r="N82"/>
    </row>
    <row r="83" spans="1:14" x14ac:dyDescent="0.25">
      <c r="A83" s="15">
        <v>82</v>
      </c>
      <c r="B83" s="10" t="s">
        <v>292</v>
      </c>
      <c r="C83" s="11" t="s">
        <v>293</v>
      </c>
      <c r="D83" s="9" t="s">
        <v>266</v>
      </c>
      <c r="E83" s="11" t="s">
        <v>294</v>
      </c>
      <c r="F83" s="9"/>
      <c r="N83"/>
    </row>
    <row r="84" spans="1:14" x14ac:dyDescent="0.25">
      <c r="A84" s="14">
        <v>83</v>
      </c>
      <c r="B84" s="7" t="s">
        <v>295</v>
      </c>
      <c r="C84" s="8" t="s">
        <v>296</v>
      </c>
      <c r="D84" s="6" t="s">
        <v>266</v>
      </c>
      <c r="E84" s="8" t="s">
        <v>297</v>
      </c>
      <c r="F84" s="6"/>
      <c r="N84"/>
    </row>
    <row r="85" spans="1:14" x14ac:dyDescent="0.25">
      <c r="A85" s="15">
        <v>84</v>
      </c>
      <c r="B85" s="10" t="s">
        <v>298</v>
      </c>
      <c r="C85" s="11" t="s">
        <v>299</v>
      </c>
      <c r="D85" s="9" t="s">
        <v>266</v>
      </c>
      <c r="E85" s="11" t="s">
        <v>300</v>
      </c>
      <c r="F85" s="9"/>
      <c r="N85"/>
    </row>
    <row r="86" spans="1:14" x14ac:dyDescent="0.25">
      <c r="A86" s="14">
        <v>85</v>
      </c>
      <c r="B86" s="7" t="s">
        <v>301</v>
      </c>
      <c r="C86" s="8" t="s">
        <v>302</v>
      </c>
      <c r="D86" s="6" t="s">
        <v>266</v>
      </c>
      <c r="E86" s="8" t="s">
        <v>303</v>
      </c>
      <c r="F86" s="6"/>
      <c r="N86"/>
    </row>
    <row r="87" spans="1:14" x14ac:dyDescent="0.25">
      <c r="A87" s="15">
        <v>86</v>
      </c>
      <c r="B87" s="10" t="s">
        <v>304</v>
      </c>
      <c r="C87" s="11" t="s">
        <v>305</v>
      </c>
      <c r="D87" s="9" t="s">
        <v>306</v>
      </c>
      <c r="E87" s="11" t="s">
        <v>307</v>
      </c>
      <c r="F87" s="9"/>
      <c r="N87"/>
    </row>
    <row r="88" spans="1:14" x14ac:dyDescent="0.25">
      <c r="A88" s="14">
        <v>87</v>
      </c>
      <c r="B88" s="7" t="s">
        <v>308</v>
      </c>
      <c r="C88" s="8" t="s">
        <v>309</v>
      </c>
      <c r="D88" s="6" t="s">
        <v>306</v>
      </c>
      <c r="E88" s="8" t="s">
        <v>310</v>
      </c>
      <c r="F88" s="6"/>
      <c r="N88"/>
    </row>
    <row r="89" spans="1:14" x14ac:dyDescent="0.25">
      <c r="A89" s="15">
        <v>88</v>
      </c>
      <c r="B89" s="10" t="s">
        <v>311</v>
      </c>
      <c r="C89" s="11" t="s">
        <v>312</v>
      </c>
      <c r="D89" s="9" t="s">
        <v>306</v>
      </c>
      <c r="E89" s="11" t="s">
        <v>313</v>
      </c>
      <c r="F89" s="9"/>
      <c r="N89"/>
    </row>
    <row r="90" spans="1:14" x14ac:dyDescent="0.25">
      <c r="A90" s="14">
        <v>89</v>
      </c>
      <c r="B90" s="7" t="s">
        <v>314</v>
      </c>
      <c r="C90" s="8" t="s">
        <v>315</v>
      </c>
      <c r="D90" s="6" t="s">
        <v>306</v>
      </c>
      <c r="E90" s="8" t="s">
        <v>316</v>
      </c>
      <c r="F90" s="6"/>
      <c r="N90"/>
    </row>
    <row r="91" spans="1:14" x14ac:dyDescent="0.25">
      <c r="A91" s="15">
        <v>90</v>
      </c>
      <c r="B91" s="10" t="s">
        <v>317</v>
      </c>
      <c r="C91" s="11" t="s">
        <v>318</v>
      </c>
      <c r="D91" s="9" t="s">
        <v>306</v>
      </c>
      <c r="E91" s="11" t="s">
        <v>319</v>
      </c>
      <c r="F91" s="9"/>
      <c r="N91"/>
    </row>
    <row r="92" spans="1:14" x14ac:dyDescent="0.25">
      <c r="A92" s="14">
        <v>91</v>
      </c>
      <c r="B92" s="7" t="s">
        <v>320</v>
      </c>
      <c r="C92" s="8" t="s">
        <v>321</v>
      </c>
      <c r="D92" s="6" t="s">
        <v>306</v>
      </c>
      <c r="E92" s="8" t="s">
        <v>322</v>
      </c>
      <c r="F92" s="6"/>
      <c r="N92"/>
    </row>
    <row r="93" spans="1:14" x14ac:dyDescent="0.25">
      <c r="A93" s="15">
        <v>92</v>
      </c>
      <c r="B93" s="10" t="s">
        <v>323</v>
      </c>
      <c r="C93" s="11" t="s">
        <v>324</v>
      </c>
      <c r="D93" s="9" t="s">
        <v>306</v>
      </c>
      <c r="E93" s="11" t="s">
        <v>325</v>
      </c>
      <c r="F93" s="9"/>
      <c r="N93"/>
    </row>
    <row r="94" spans="1:14" x14ac:dyDescent="0.25">
      <c r="A94" s="14">
        <v>93</v>
      </c>
      <c r="B94" s="7" t="s">
        <v>326</v>
      </c>
      <c r="C94" s="8" t="s">
        <v>327</v>
      </c>
      <c r="D94" s="6" t="s">
        <v>306</v>
      </c>
      <c r="E94" s="8" t="s">
        <v>328</v>
      </c>
      <c r="F94" s="6"/>
      <c r="N94"/>
    </row>
    <row r="95" spans="1:14" x14ac:dyDescent="0.25">
      <c r="A95" s="15">
        <v>94</v>
      </c>
      <c r="B95" s="10" t="s">
        <v>329</v>
      </c>
      <c r="C95" s="11" t="s">
        <v>330</v>
      </c>
      <c r="D95" s="9" t="s">
        <v>306</v>
      </c>
      <c r="E95" s="11" t="s">
        <v>331</v>
      </c>
      <c r="F95" s="9"/>
      <c r="N95"/>
    </row>
    <row r="96" spans="1:14" x14ac:dyDescent="0.25">
      <c r="A96" s="14">
        <v>95</v>
      </c>
      <c r="B96" s="7" t="s">
        <v>332</v>
      </c>
      <c r="C96" s="8" t="s">
        <v>333</v>
      </c>
      <c r="D96" s="6" t="s">
        <v>306</v>
      </c>
      <c r="E96" s="8" t="s">
        <v>334</v>
      </c>
      <c r="F96" s="6"/>
      <c r="N96"/>
    </row>
    <row r="97" spans="1:14" x14ac:dyDescent="0.25">
      <c r="A97" s="15">
        <v>96</v>
      </c>
      <c r="B97" s="10" t="s">
        <v>335</v>
      </c>
      <c r="C97" s="11" t="s">
        <v>336</v>
      </c>
      <c r="D97" s="9" t="s">
        <v>306</v>
      </c>
      <c r="E97" s="11" t="s">
        <v>337</v>
      </c>
      <c r="F97" s="9"/>
      <c r="N97"/>
    </row>
    <row r="98" spans="1:14" x14ac:dyDescent="0.25">
      <c r="A98" s="14">
        <v>97</v>
      </c>
      <c r="B98" s="7" t="s">
        <v>338</v>
      </c>
      <c r="C98" s="8" t="s">
        <v>339</v>
      </c>
      <c r="D98" s="6" t="s">
        <v>306</v>
      </c>
      <c r="E98" s="8" t="s">
        <v>340</v>
      </c>
      <c r="F98" s="6"/>
      <c r="N98"/>
    </row>
    <row r="99" spans="1:14" x14ac:dyDescent="0.25">
      <c r="A99" s="15">
        <v>98</v>
      </c>
      <c r="B99" s="10" t="s">
        <v>341</v>
      </c>
      <c r="C99" s="11" t="s">
        <v>342</v>
      </c>
      <c r="D99" s="9" t="s">
        <v>343</v>
      </c>
      <c r="E99" s="11" t="s">
        <v>344</v>
      </c>
      <c r="F99" s="9"/>
      <c r="N99"/>
    </row>
    <row r="100" spans="1:14" x14ac:dyDescent="0.25">
      <c r="A100" s="14">
        <v>99</v>
      </c>
      <c r="B100" s="7" t="s">
        <v>345</v>
      </c>
      <c r="C100" s="8" t="s">
        <v>346</v>
      </c>
      <c r="D100" s="6" t="s">
        <v>343</v>
      </c>
      <c r="E100" s="8" t="s">
        <v>347</v>
      </c>
      <c r="F100" s="6"/>
      <c r="N100"/>
    </row>
    <row r="101" spans="1:14" x14ac:dyDescent="0.25">
      <c r="A101" s="15">
        <v>100</v>
      </c>
      <c r="B101" s="10" t="s">
        <v>348</v>
      </c>
      <c r="C101" s="11" t="s">
        <v>349</v>
      </c>
      <c r="D101" s="9" t="s">
        <v>343</v>
      </c>
      <c r="E101" s="11" t="s">
        <v>350</v>
      </c>
      <c r="F101" s="9"/>
      <c r="N101"/>
    </row>
    <row r="102" spans="1:14" x14ac:dyDescent="0.25">
      <c r="A102" s="14">
        <v>101</v>
      </c>
      <c r="B102" s="7" t="s">
        <v>351</v>
      </c>
      <c r="C102" s="8" t="s">
        <v>352</v>
      </c>
      <c r="D102" s="6" t="s">
        <v>343</v>
      </c>
      <c r="E102" s="8" t="s">
        <v>353</v>
      </c>
      <c r="F102" s="6"/>
      <c r="N102"/>
    </row>
    <row r="103" spans="1:14" x14ac:dyDescent="0.25">
      <c r="A103" s="15">
        <v>102</v>
      </c>
      <c r="B103" s="10" t="s">
        <v>354</v>
      </c>
      <c r="C103" s="11" t="s">
        <v>355</v>
      </c>
      <c r="D103" s="9" t="s">
        <v>343</v>
      </c>
      <c r="E103" s="11" t="s">
        <v>356</v>
      </c>
      <c r="F103" s="9"/>
      <c r="N103"/>
    </row>
    <row r="104" spans="1:14" x14ac:dyDescent="0.25">
      <c r="A104" s="14">
        <v>103</v>
      </c>
      <c r="B104" s="7" t="s">
        <v>357</v>
      </c>
      <c r="C104" s="8" t="s">
        <v>358</v>
      </c>
      <c r="D104" s="6" t="s">
        <v>343</v>
      </c>
      <c r="E104" s="8" t="s">
        <v>359</v>
      </c>
      <c r="F104" s="6"/>
      <c r="N104"/>
    </row>
    <row r="105" spans="1:14" x14ac:dyDescent="0.25">
      <c r="A105" s="15">
        <v>104</v>
      </c>
      <c r="B105" s="10" t="s">
        <v>360</v>
      </c>
      <c r="C105" s="11" t="s">
        <v>361</v>
      </c>
      <c r="D105" s="9" t="s">
        <v>362</v>
      </c>
      <c r="E105" s="11" t="s">
        <v>363</v>
      </c>
      <c r="F105" s="9"/>
      <c r="N105"/>
    </row>
    <row r="106" spans="1:14" x14ac:dyDescent="0.25">
      <c r="A106" s="14">
        <v>105</v>
      </c>
      <c r="B106" s="7" t="s">
        <v>364</v>
      </c>
      <c r="C106" s="8" t="s">
        <v>365</v>
      </c>
      <c r="D106" s="6" t="s">
        <v>362</v>
      </c>
      <c r="E106" s="8" t="s">
        <v>366</v>
      </c>
      <c r="F106" s="6"/>
      <c r="N106"/>
    </row>
    <row r="107" spans="1:14" x14ac:dyDescent="0.25">
      <c r="A107" s="15">
        <v>106</v>
      </c>
      <c r="B107" s="10" t="s">
        <v>367</v>
      </c>
      <c r="C107" s="11" t="s">
        <v>368</v>
      </c>
      <c r="D107" s="9" t="s">
        <v>362</v>
      </c>
      <c r="E107" s="11" t="s">
        <v>369</v>
      </c>
      <c r="F107" s="9"/>
      <c r="N107"/>
    </row>
    <row r="108" spans="1:14" x14ac:dyDescent="0.25">
      <c r="A108" s="14">
        <v>107</v>
      </c>
      <c r="B108" s="7" t="s">
        <v>370</v>
      </c>
      <c r="C108" s="8" t="s">
        <v>371</v>
      </c>
      <c r="D108" s="6" t="s">
        <v>362</v>
      </c>
      <c r="E108" s="8" t="s">
        <v>372</v>
      </c>
      <c r="F108" s="6"/>
      <c r="N108"/>
    </row>
    <row r="109" spans="1:14" x14ac:dyDescent="0.25">
      <c r="A109" s="15">
        <v>108</v>
      </c>
      <c r="B109" s="10" t="s">
        <v>373</v>
      </c>
      <c r="C109" s="11" t="s">
        <v>374</v>
      </c>
      <c r="D109" s="9" t="s">
        <v>375</v>
      </c>
      <c r="E109" s="11" t="s">
        <v>376</v>
      </c>
      <c r="F109" s="9"/>
      <c r="N109"/>
    </row>
    <row r="110" spans="1:14" x14ac:dyDescent="0.25">
      <c r="A110" s="14">
        <v>109</v>
      </c>
      <c r="B110" s="7" t="s">
        <v>377</v>
      </c>
      <c r="C110" s="8" t="s">
        <v>378</v>
      </c>
      <c r="D110" s="6" t="s">
        <v>375</v>
      </c>
      <c r="E110" s="8" t="s">
        <v>379</v>
      </c>
      <c r="F110" s="6"/>
      <c r="N110"/>
    </row>
    <row r="111" spans="1:14" x14ac:dyDescent="0.25">
      <c r="A111" s="15">
        <v>110</v>
      </c>
      <c r="B111" s="10" t="s">
        <v>380</v>
      </c>
      <c r="C111" s="11" t="s">
        <v>381</v>
      </c>
      <c r="D111" s="9" t="s">
        <v>375</v>
      </c>
      <c r="E111" s="11" t="s">
        <v>382</v>
      </c>
      <c r="F111" s="9"/>
      <c r="N111"/>
    </row>
    <row r="112" spans="1:14" x14ac:dyDescent="0.25">
      <c r="A112" s="14">
        <v>111</v>
      </c>
      <c r="B112" s="7" t="s">
        <v>383</v>
      </c>
      <c r="C112" s="8" t="s">
        <v>384</v>
      </c>
      <c r="D112" s="6" t="s">
        <v>385</v>
      </c>
      <c r="E112" s="8" t="s">
        <v>386</v>
      </c>
      <c r="F112" s="6"/>
      <c r="N112"/>
    </row>
    <row r="113" spans="1:14" x14ac:dyDescent="0.25">
      <c r="A113" s="15">
        <v>112</v>
      </c>
      <c r="B113" s="10" t="s">
        <v>387</v>
      </c>
      <c r="C113" s="11" t="s">
        <v>388</v>
      </c>
      <c r="D113" s="9" t="s">
        <v>385</v>
      </c>
      <c r="E113" s="11" t="s">
        <v>389</v>
      </c>
      <c r="F113" s="9"/>
      <c r="N113"/>
    </row>
    <row r="114" spans="1:14" x14ac:dyDescent="0.25">
      <c r="A114" s="14">
        <v>113</v>
      </c>
      <c r="B114" s="7" t="s">
        <v>390</v>
      </c>
      <c r="C114" s="8" t="s">
        <v>391</v>
      </c>
      <c r="D114" s="6" t="s">
        <v>385</v>
      </c>
      <c r="E114" s="8" t="s">
        <v>392</v>
      </c>
      <c r="F114" s="6"/>
      <c r="N114"/>
    </row>
    <row r="115" spans="1:14" x14ac:dyDescent="0.25">
      <c r="A115" s="15">
        <v>114</v>
      </c>
      <c r="B115" s="10" t="s">
        <v>393</v>
      </c>
      <c r="C115" s="11" t="s">
        <v>394</v>
      </c>
      <c r="D115" s="9" t="s">
        <v>401</v>
      </c>
      <c r="E115" s="11" t="s">
        <v>395</v>
      </c>
      <c r="F115" s="9"/>
      <c r="N115"/>
    </row>
    <row r="116" spans="1:14" x14ac:dyDescent="0.25">
      <c r="A116" s="14">
        <v>115</v>
      </c>
      <c r="B116" s="7" t="s">
        <v>396</v>
      </c>
      <c r="C116" s="8" t="s">
        <v>397</v>
      </c>
      <c r="D116" s="9" t="s">
        <v>401</v>
      </c>
      <c r="E116" s="8" t="s">
        <v>398</v>
      </c>
      <c r="F116" s="6"/>
      <c r="N116"/>
    </row>
    <row r="117" spans="1:14" x14ac:dyDescent="0.25">
      <c r="A117" s="15">
        <v>116</v>
      </c>
      <c r="B117" s="10" t="s">
        <v>399</v>
      </c>
      <c r="C117" s="11" t="s">
        <v>400</v>
      </c>
      <c r="D117" s="9" t="s">
        <v>401</v>
      </c>
      <c r="E117" s="11" t="s">
        <v>402</v>
      </c>
      <c r="F117" s="9"/>
      <c r="N117"/>
    </row>
    <row r="118" spans="1:14" x14ac:dyDescent="0.25">
      <c r="A118" s="14">
        <v>117</v>
      </c>
      <c r="B118" s="7" t="s">
        <v>403</v>
      </c>
      <c r="C118" s="8" t="s">
        <v>404</v>
      </c>
      <c r="D118" s="6" t="s">
        <v>405</v>
      </c>
      <c r="E118" s="8" t="s">
        <v>406</v>
      </c>
      <c r="F118" s="6"/>
      <c r="N118"/>
    </row>
    <row r="119" spans="1:14" x14ac:dyDescent="0.25">
      <c r="A119" s="15">
        <v>118</v>
      </c>
      <c r="B119" s="10" t="s">
        <v>407</v>
      </c>
      <c r="C119" s="11" t="s">
        <v>408</v>
      </c>
      <c r="D119" s="9" t="s">
        <v>405</v>
      </c>
      <c r="E119" s="11" t="s">
        <v>409</v>
      </c>
      <c r="F119" s="9"/>
      <c r="N119"/>
    </row>
    <row r="120" spans="1:14" x14ac:dyDescent="0.25">
      <c r="A120" s="14">
        <v>119</v>
      </c>
      <c r="B120" s="7" t="s">
        <v>410</v>
      </c>
      <c r="C120" s="8" t="s">
        <v>411</v>
      </c>
      <c r="D120" s="6" t="s">
        <v>412</v>
      </c>
      <c r="E120" s="8" t="s">
        <v>413</v>
      </c>
      <c r="F120" s="6"/>
      <c r="N120"/>
    </row>
    <row r="121" spans="1:14" x14ac:dyDescent="0.25">
      <c r="A121" s="15">
        <v>120</v>
      </c>
      <c r="B121" s="10" t="s">
        <v>414</v>
      </c>
      <c r="C121" s="11" t="s">
        <v>415</v>
      </c>
      <c r="D121" s="6" t="s">
        <v>412</v>
      </c>
      <c r="E121" s="11" t="s">
        <v>416</v>
      </c>
      <c r="F121" s="9"/>
      <c r="N121"/>
    </row>
    <row r="122" spans="1:14" x14ac:dyDescent="0.25">
      <c r="A122" s="14">
        <v>121</v>
      </c>
      <c r="B122" s="7" t="s">
        <v>417</v>
      </c>
      <c r="C122" s="8" t="s">
        <v>418</v>
      </c>
      <c r="D122" s="6" t="s">
        <v>412</v>
      </c>
      <c r="E122" s="8" t="s">
        <v>419</v>
      </c>
      <c r="F122" s="6"/>
      <c r="N122"/>
    </row>
    <row r="123" spans="1:14" x14ac:dyDescent="0.25">
      <c r="A123" s="15">
        <v>122</v>
      </c>
      <c r="B123" s="10" t="s">
        <v>420</v>
      </c>
      <c r="C123" s="11" t="s">
        <v>421</v>
      </c>
      <c r="D123" s="6" t="s">
        <v>412</v>
      </c>
      <c r="E123" s="11" t="s">
        <v>422</v>
      </c>
      <c r="F123" s="9"/>
      <c r="N123"/>
    </row>
    <row r="124" spans="1:14" x14ac:dyDescent="0.25">
      <c r="A124" s="14">
        <v>123</v>
      </c>
      <c r="B124" s="7" t="s">
        <v>423</v>
      </c>
      <c r="C124" s="8" t="s">
        <v>424</v>
      </c>
      <c r="D124" s="6" t="s">
        <v>412</v>
      </c>
      <c r="E124" s="8" t="s">
        <v>425</v>
      </c>
      <c r="F124" s="6"/>
      <c r="N124"/>
    </row>
    <row r="125" spans="1:14" x14ac:dyDescent="0.25">
      <c r="A125" s="15">
        <v>124</v>
      </c>
      <c r="B125" s="10" t="s">
        <v>426</v>
      </c>
      <c r="C125" s="11" t="s">
        <v>427</v>
      </c>
      <c r="D125" s="6" t="s">
        <v>412</v>
      </c>
      <c r="E125" s="11" t="s">
        <v>428</v>
      </c>
      <c r="F125" s="9"/>
      <c r="N125"/>
    </row>
    <row r="126" spans="1:14" x14ac:dyDescent="0.25">
      <c r="A126" s="14">
        <v>125</v>
      </c>
      <c r="B126" s="7" t="s">
        <v>429</v>
      </c>
      <c r="C126" s="8" t="s">
        <v>430</v>
      </c>
      <c r="D126" s="6" t="s">
        <v>431</v>
      </c>
      <c r="E126" s="8" t="s">
        <v>432</v>
      </c>
      <c r="F126" s="6"/>
      <c r="N126"/>
    </row>
    <row r="127" spans="1:14" x14ac:dyDescent="0.25">
      <c r="A127" s="15">
        <v>126</v>
      </c>
      <c r="B127" s="10" t="s">
        <v>433</v>
      </c>
      <c r="C127" s="11" t="s">
        <v>434</v>
      </c>
      <c r="D127" s="9" t="s">
        <v>431</v>
      </c>
      <c r="E127" s="11" t="s">
        <v>435</v>
      </c>
      <c r="F127" s="9"/>
      <c r="N127"/>
    </row>
    <row r="128" spans="1:14" x14ac:dyDescent="0.25">
      <c r="A128" s="14">
        <v>127</v>
      </c>
      <c r="B128" s="7" t="s">
        <v>436</v>
      </c>
      <c r="C128" s="8" t="s">
        <v>437</v>
      </c>
      <c r="D128" s="6" t="s">
        <v>431</v>
      </c>
      <c r="E128" s="8" t="s">
        <v>438</v>
      </c>
      <c r="F128" s="6"/>
      <c r="N128"/>
    </row>
    <row r="129" spans="1:14" x14ac:dyDescent="0.25">
      <c r="A129" s="15">
        <v>128</v>
      </c>
      <c r="B129" s="10" t="s">
        <v>439</v>
      </c>
      <c r="C129" s="11" t="s">
        <v>440</v>
      </c>
      <c r="D129" s="9" t="s">
        <v>431</v>
      </c>
      <c r="E129" s="11" t="s">
        <v>441</v>
      </c>
      <c r="F129" s="9"/>
      <c r="N129"/>
    </row>
    <row r="130" spans="1:14" x14ac:dyDescent="0.25">
      <c r="A130" s="14">
        <v>129</v>
      </c>
      <c r="B130" s="7" t="s">
        <v>442</v>
      </c>
      <c r="C130" s="8" t="s">
        <v>443</v>
      </c>
      <c r="D130" s="6" t="s">
        <v>431</v>
      </c>
      <c r="E130" s="8" t="s">
        <v>444</v>
      </c>
      <c r="F130" s="6"/>
      <c r="N130"/>
    </row>
    <row r="131" spans="1:14" x14ac:dyDescent="0.25">
      <c r="A131" s="15">
        <v>130</v>
      </c>
      <c r="B131" s="10" t="s">
        <v>445</v>
      </c>
      <c r="C131" s="11" t="s">
        <v>446</v>
      </c>
      <c r="D131" s="9" t="s">
        <v>431</v>
      </c>
      <c r="E131" s="11" t="s">
        <v>447</v>
      </c>
      <c r="F131" s="9"/>
      <c r="N131"/>
    </row>
    <row r="132" spans="1:14" x14ac:dyDescent="0.25">
      <c r="A132" s="14">
        <v>131</v>
      </c>
      <c r="B132" s="7" t="s">
        <v>448</v>
      </c>
      <c r="C132" s="8" t="s">
        <v>449</v>
      </c>
      <c r="D132" s="6" t="s">
        <v>431</v>
      </c>
      <c r="E132" s="8" t="s">
        <v>450</v>
      </c>
      <c r="F132" s="6"/>
      <c r="N132"/>
    </row>
    <row r="133" spans="1:14" x14ac:dyDescent="0.25">
      <c r="A133" s="15">
        <v>132</v>
      </c>
      <c r="B133" s="10" t="s">
        <v>451</v>
      </c>
      <c r="C133" s="11" t="s">
        <v>452</v>
      </c>
      <c r="D133" s="9" t="s">
        <v>431</v>
      </c>
      <c r="E133" s="11" t="s">
        <v>453</v>
      </c>
      <c r="F133" s="9"/>
      <c r="N133"/>
    </row>
    <row r="134" spans="1:14" x14ac:dyDescent="0.25">
      <c r="A134" s="14">
        <v>133</v>
      </c>
      <c r="B134" s="7" t="s">
        <v>454</v>
      </c>
      <c r="C134" s="8" t="s">
        <v>455</v>
      </c>
      <c r="D134" s="6" t="s">
        <v>456</v>
      </c>
      <c r="E134" s="8" t="s">
        <v>457</v>
      </c>
      <c r="F134" s="6"/>
      <c r="N134"/>
    </row>
    <row r="135" spans="1:14" x14ac:dyDescent="0.25">
      <c r="A135" s="15">
        <v>134</v>
      </c>
      <c r="B135" s="10" t="s">
        <v>458</v>
      </c>
      <c r="C135" s="11" t="s">
        <v>459</v>
      </c>
      <c r="D135" s="9" t="s">
        <v>456</v>
      </c>
      <c r="E135" s="11" t="s">
        <v>460</v>
      </c>
      <c r="F135" s="9"/>
      <c r="N135"/>
    </row>
    <row r="136" spans="1:14" x14ac:dyDescent="0.25">
      <c r="A136" s="14">
        <v>135</v>
      </c>
      <c r="B136" s="7" t="s">
        <v>461</v>
      </c>
      <c r="C136" s="8" t="s">
        <v>462</v>
      </c>
      <c r="D136" s="6" t="s">
        <v>456</v>
      </c>
      <c r="E136" s="8" t="s">
        <v>463</v>
      </c>
      <c r="F136" s="6"/>
      <c r="N136"/>
    </row>
    <row r="137" spans="1:14" x14ac:dyDescent="0.25">
      <c r="A137" s="15">
        <v>136</v>
      </c>
      <c r="B137" s="10" t="s">
        <v>464</v>
      </c>
      <c r="C137" s="11" t="s">
        <v>465</v>
      </c>
      <c r="D137" s="9" t="s">
        <v>456</v>
      </c>
      <c r="E137" s="11" t="s">
        <v>466</v>
      </c>
      <c r="F137" s="9"/>
      <c r="N137"/>
    </row>
    <row r="138" spans="1:14" x14ac:dyDescent="0.25">
      <c r="A138" s="14">
        <v>137</v>
      </c>
      <c r="B138" s="7" t="s">
        <v>467</v>
      </c>
      <c r="C138" s="8" t="s">
        <v>468</v>
      </c>
      <c r="D138" s="6" t="s">
        <v>456</v>
      </c>
      <c r="E138" s="8" t="s">
        <v>469</v>
      </c>
      <c r="F138" s="6"/>
      <c r="N138"/>
    </row>
    <row r="139" spans="1:14" x14ac:dyDescent="0.25">
      <c r="A139" s="15">
        <v>138</v>
      </c>
      <c r="B139" s="10" t="s">
        <v>470</v>
      </c>
      <c r="C139" s="11" t="s">
        <v>471</v>
      </c>
      <c r="D139" s="9" t="s">
        <v>456</v>
      </c>
      <c r="E139" s="11" t="s">
        <v>472</v>
      </c>
      <c r="F139" s="9"/>
      <c r="N139"/>
    </row>
    <row r="140" spans="1:14" x14ac:dyDescent="0.25">
      <c r="A140" s="14">
        <v>139</v>
      </c>
      <c r="B140" s="7" t="s">
        <v>473</v>
      </c>
      <c r="C140" s="8" t="s">
        <v>474</v>
      </c>
      <c r="D140" s="6" t="s">
        <v>475</v>
      </c>
      <c r="E140" s="8" t="s">
        <v>476</v>
      </c>
      <c r="F140" s="6"/>
      <c r="N140"/>
    </row>
    <row r="141" spans="1:14" x14ac:dyDescent="0.25">
      <c r="A141" s="15">
        <v>140</v>
      </c>
      <c r="B141" s="10" t="s">
        <v>477</v>
      </c>
      <c r="C141" s="11" t="s">
        <v>478</v>
      </c>
      <c r="D141" s="9" t="s">
        <v>475</v>
      </c>
      <c r="E141" s="11" t="s">
        <v>479</v>
      </c>
      <c r="F141" s="9"/>
      <c r="N141"/>
    </row>
    <row r="142" spans="1:14" x14ac:dyDescent="0.25">
      <c r="A142" s="14">
        <v>141</v>
      </c>
      <c r="B142" s="7" t="s">
        <v>480</v>
      </c>
      <c r="C142" s="8" t="s">
        <v>481</v>
      </c>
      <c r="D142" s="6" t="s">
        <v>475</v>
      </c>
      <c r="E142" s="8" t="s">
        <v>482</v>
      </c>
      <c r="F142" s="6"/>
      <c r="N142"/>
    </row>
    <row r="143" spans="1:14" x14ac:dyDescent="0.25">
      <c r="A143" s="15">
        <v>142</v>
      </c>
      <c r="B143" s="10" t="s">
        <v>483</v>
      </c>
      <c r="C143" s="11" t="s">
        <v>484</v>
      </c>
      <c r="D143" s="9" t="s">
        <v>475</v>
      </c>
      <c r="E143" s="11" t="s">
        <v>485</v>
      </c>
      <c r="F143" s="9"/>
      <c r="N143"/>
    </row>
    <row r="144" spans="1:14" x14ac:dyDescent="0.25">
      <c r="A144" s="14">
        <v>143</v>
      </c>
      <c r="B144" s="7" t="s">
        <v>486</v>
      </c>
      <c r="C144" s="8" t="s">
        <v>487</v>
      </c>
      <c r="D144" s="6" t="s">
        <v>488</v>
      </c>
      <c r="E144" s="8" t="s">
        <v>489</v>
      </c>
      <c r="F144" s="6"/>
      <c r="N144"/>
    </row>
    <row r="145" spans="1:14" x14ac:dyDescent="0.25">
      <c r="A145" s="15">
        <v>144</v>
      </c>
      <c r="B145" s="10" t="s">
        <v>490</v>
      </c>
      <c r="C145" s="11" t="s">
        <v>491</v>
      </c>
      <c r="D145" s="9" t="s">
        <v>488</v>
      </c>
      <c r="E145" s="11" t="s">
        <v>492</v>
      </c>
      <c r="F145" s="9"/>
      <c r="N145"/>
    </row>
    <row r="146" spans="1:14" x14ac:dyDescent="0.25">
      <c r="A146" s="14">
        <v>145</v>
      </c>
      <c r="B146" s="7" t="s">
        <v>493</v>
      </c>
      <c r="C146" s="8" t="s">
        <v>494</v>
      </c>
      <c r="D146" s="6" t="s">
        <v>488</v>
      </c>
      <c r="E146" s="8" t="s">
        <v>495</v>
      </c>
      <c r="F146" s="6"/>
      <c r="N146"/>
    </row>
    <row r="147" spans="1:14" x14ac:dyDescent="0.25">
      <c r="A147" s="30">
        <v>146</v>
      </c>
      <c r="B147" s="31" t="s">
        <v>507</v>
      </c>
      <c r="C147" s="32" t="s">
        <v>508</v>
      </c>
      <c r="D147" s="33" t="s">
        <v>502</v>
      </c>
      <c r="E147" s="32" t="s">
        <v>509</v>
      </c>
      <c r="F147" s="33"/>
      <c r="G147" s="34"/>
    </row>
    <row r="148" spans="1:14" x14ac:dyDescent="0.25">
      <c r="A148" s="30">
        <v>147</v>
      </c>
      <c r="B148" s="31" t="s">
        <v>510</v>
      </c>
      <c r="C148" s="32" t="s">
        <v>511</v>
      </c>
      <c r="D148" s="33" t="s">
        <v>502</v>
      </c>
      <c r="E148" s="32" t="s">
        <v>512</v>
      </c>
      <c r="F148" s="33"/>
      <c r="G148" s="34"/>
    </row>
    <row r="149" spans="1:14" x14ac:dyDescent="0.25">
      <c r="A149" s="30">
        <v>148</v>
      </c>
      <c r="B149" s="31" t="s">
        <v>513</v>
      </c>
      <c r="C149" s="32" t="s">
        <v>514</v>
      </c>
      <c r="D149" s="33" t="s">
        <v>502</v>
      </c>
      <c r="E149" s="32" t="s">
        <v>515</v>
      </c>
      <c r="F149" s="33"/>
      <c r="G149" s="34"/>
    </row>
    <row r="150" spans="1:14" x14ac:dyDescent="0.25">
      <c r="A150" s="30">
        <v>149</v>
      </c>
      <c r="B150" s="31" t="s">
        <v>516</v>
      </c>
      <c r="C150" s="32" t="s">
        <v>517</v>
      </c>
      <c r="D150" s="33" t="s">
        <v>502</v>
      </c>
      <c r="E150" s="32" t="s">
        <v>518</v>
      </c>
      <c r="F150" s="33"/>
      <c r="G150" s="34"/>
    </row>
  </sheetData>
  <conditionalFormatting sqref="F2:F5000">
    <cfRule type="expression" dxfId="1" priority="1">
      <formula>F2="إجازة"</formula>
    </cfRule>
    <cfRule type="expression" dxfId="0" priority="2">
      <formula>F2="منقول"</formula>
    </cfRule>
  </conditionalFormatting>
  <dataValidations disablePrompts="1" count="1">
    <dataValidation type="list" allowBlank="1" sqref="F2:F5000" xr:uid="{00000000-0002-0000-0100-000000000000}">
      <formula1>"يعمل,إجازة,منقول,انتداب"</formula1>
    </dataValidation>
  </dataValidations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Worksheet____3"/>
  <dimension ref="A1:G1001"/>
  <sheetViews>
    <sheetView rightToLeft="1" workbookViewId="0">
      <selection activeCell="B22" sqref="B22"/>
    </sheetView>
  </sheetViews>
  <sheetFormatPr defaultRowHeight="15" x14ac:dyDescent="0.25"/>
  <cols>
    <col min="1" max="1" width="10" customWidth="1"/>
    <col min="2" max="2" width="32" customWidth="1"/>
    <col min="3" max="3" width="22" customWidth="1"/>
    <col min="4" max="5" width="15" customWidth="1"/>
    <col min="6" max="6" width="14" customWidth="1"/>
    <col min="7" max="7" width="40" customWidth="1"/>
  </cols>
  <sheetData>
    <row r="1" spans="1:7" x14ac:dyDescent="0.25">
      <c r="A1" s="2" t="s">
        <v>12</v>
      </c>
      <c r="B1" s="2" t="s">
        <v>7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11</v>
      </c>
    </row>
    <row r="2" spans="1:7" x14ac:dyDescent="0.25">
      <c r="F2" t="str">
        <f t="shared" ref="F2:F65" si="0">IF(AND(D2&lt;&gt;"",E2&lt;&gt;""),E2-D2+1,"")</f>
        <v/>
      </c>
    </row>
    <row r="3" spans="1:7" x14ac:dyDescent="0.25">
      <c r="F3" t="str">
        <f t="shared" si="0"/>
        <v/>
      </c>
    </row>
    <row r="4" spans="1:7" x14ac:dyDescent="0.25">
      <c r="F4" t="str">
        <f t="shared" si="0"/>
        <v/>
      </c>
    </row>
    <row r="5" spans="1:7" x14ac:dyDescent="0.25">
      <c r="F5" t="str">
        <f t="shared" si="0"/>
        <v/>
      </c>
    </row>
    <row r="6" spans="1:7" x14ac:dyDescent="0.25">
      <c r="F6" t="str">
        <f t="shared" si="0"/>
        <v/>
      </c>
    </row>
    <row r="7" spans="1:7" x14ac:dyDescent="0.25">
      <c r="F7" t="str">
        <f t="shared" si="0"/>
        <v/>
      </c>
    </row>
    <row r="8" spans="1:7" x14ac:dyDescent="0.25">
      <c r="F8" t="str">
        <f t="shared" si="0"/>
        <v/>
      </c>
    </row>
    <row r="9" spans="1:7" x14ac:dyDescent="0.25">
      <c r="F9" t="str">
        <f t="shared" si="0"/>
        <v/>
      </c>
    </row>
    <row r="10" spans="1:7" x14ac:dyDescent="0.25">
      <c r="F10" t="str">
        <f t="shared" si="0"/>
        <v/>
      </c>
    </row>
    <row r="11" spans="1:7" x14ac:dyDescent="0.25">
      <c r="F11" t="str">
        <f t="shared" si="0"/>
        <v/>
      </c>
    </row>
    <row r="12" spans="1:7" x14ac:dyDescent="0.25">
      <c r="F12" t="str">
        <f t="shared" si="0"/>
        <v/>
      </c>
    </row>
    <row r="13" spans="1:7" x14ac:dyDescent="0.25">
      <c r="F13" t="str">
        <f t="shared" si="0"/>
        <v/>
      </c>
    </row>
    <row r="14" spans="1:7" x14ac:dyDescent="0.25">
      <c r="F14" t="str">
        <f t="shared" si="0"/>
        <v/>
      </c>
    </row>
    <row r="15" spans="1:7" x14ac:dyDescent="0.25">
      <c r="F15" t="str">
        <f t="shared" si="0"/>
        <v/>
      </c>
    </row>
    <row r="16" spans="1:7" x14ac:dyDescent="0.25">
      <c r="F16" t="str">
        <f t="shared" si="0"/>
        <v/>
      </c>
    </row>
    <row r="17" spans="6:6" x14ac:dyDescent="0.25">
      <c r="F17" t="str">
        <f t="shared" si="0"/>
        <v/>
      </c>
    </row>
    <row r="18" spans="6:6" x14ac:dyDescent="0.25">
      <c r="F18" t="str">
        <f t="shared" si="0"/>
        <v/>
      </c>
    </row>
    <row r="19" spans="6:6" x14ac:dyDescent="0.25">
      <c r="F19" t="str">
        <f t="shared" si="0"/>
        <v/>
      </c>
    </row>
    <row r="20" spans="6:6" x14ac:dyDescent="0.25">
      <c r="F20" t="str">
        <f t="shared" si="0"/>
        <v/>
      </c>
    </row>
    <row r="21" spans="6:6" x14ac:dyDescent="0.25">
      <c r="F21" t="str">
        <f t="shared" si="0"/>
        <v/>
      </c>
    </row>
    <row r="22" spans="6:6" x14ac:dyDescent="0.25">
      <c r="F22" t="str">
        <f t="shared" si="0"/>
        <v/>
      </c>
    </row>
    <row r="23" spans="6:6" x14ac:dyDescent="0.25">
      <c r="F23" t="str">
        <f t="shared" si="0"/>
        <v/>
      </c>
    </row>
    <row r="24" spans="6:6" x14ac:dyDescent="0.25">
      <c r="F24" t="str">
        <f t="shared" si="0"/>
        <v/>
      </c>
    </row>
    <row r="25" spans="6:6" x14ac:dyDescent="0.25">
      <c r="F25" t="str">
        <f t="shared" si="0"/>
        <v/>
      </c>
    </row>
    <row r="26" spans="6:6" x14ac:dyDescent="0.25">
      <c r="F26" t="str">
        <f t="shared" si="0"/>
        <v/>
      </c>
    </row>
    <row r="27" spans="6:6" x14ac:dyDescent="0.25">
      <c r="F27" t="str">
        <f t="shared" si="0"/>
        <v/>
      </c>
    </row>
    <row r="28" spans="6:6" x14ac:dyDescent="0.25">
      <c r="F28" t="str">
        <f t="shared" si="0"/>
        <v/>
      </c>
    </row>
    <row r="29" spans="6:6" x14ac:dyDescent="0.25">
      <c r="F29" t="str">
        <f t="shared" si="0"/>
        <v/>
      </c>
    </row>
    <row r="30" spans="6:6" x14ac:dyDescent="0.25">
      <c r="F30" t="str">
        <f t="shared" si="0"/>
        <v/>
      </c>
    </row>
    <row r="31" spans="6:6" x14ac:dyDescent="0.25">
      <c r="F31" t="str">
        <f t="shared" si="0"/>
        <v/>
      </c>
    </row>
    <row r="32" spans="6:6" x14ac:dyDescent="0.25">
      <c r="F32" t="str">
        <f t="shared" si="0"/>
        <v/>
      </c>
    </row>
    <row r="33" spans="6:6" x14ac:dyDescent="0.25">
      <c r="F33" t="str">
        <f t="shared" si="0"/>
        <v/>
      </c>
    </row>
    <row r="34" spans="6:6" x14ac:dyDescent="0.25">
      <c r="F34" t="str">
        <f t="shared" si="0"/>
        <v/>
      </c>
    </row>
    <row r="35" spans="6:6" x14ac:dyDescent="0.25">
      <c r="F35" t="str">
        <f t="shared" si="0"/>
        <v/>
      </c>
    </row>
    <row r="36" spans="6:6" x14ac:dyDescent="0.25">
      <c r="F36" t="str">
        <f t="shared" si="0"/>
        <v/>
      </c>
    </row>
    <row r="37" spans="6:6" x14ac:dyDescent="0.25">
      <c r="F37" t="str">
        <f t="shared" si="0"/>
        <v/>
      </c>
    </row>
    <row r="38" spans="6:6" x14ac:dyDescent="0.25">
      <c r="F38" t="str">
        <f t="shared" si="0"/>
        <v/>
      </c>
    </row>
    <row r="39" spans="6:6" x14ac:dyDescent="0.25">
      <c r="F39" t="str">
        <f t="shared" si="0"/>
        <v/>
      </c>
    </row>
    <row r="40" spans="6:6" x14ac:dyDescent="0.25">
      <c r="F40" t="str">
        <f t="shared" si="0"/>
        <v/>
      </c>
    </row>
    <row r="41" spans="6:6" x14ac:dyDescent="0.25">
      <c r="F41" t="str">
        <f t="shared" si="0"/>
        <v/>
      </c>
    </row>
    <row r="42" spans="6:6" x14ac:dyDescent="0.25">
      <c r="F42" t="str">
        <f t="shared" si="0"/>
        <v/>
      </c>
    </row>
    <row r="43" spans="6:6" x14ac:dyDescent="0.25">
      <c r="F43" t="str">
        <f t="shared" si="0"/>
        <v/>
      </c>
    </row>
    <row r="44" spans="6:6" x14ac:dyDescent="0.25">
      <c r="F44" t="str">
        <f t="shared" si="0"/>
        <v/>
      </c>
    </row>
    <row r="45" spans="6:6" x14ac:dyDescent="0.25">
      <c r="F45" t="str">
        <f t="shared" si="0"/>
        <v/>
      </c>
    </row>
    <row r="46" spans="6:6" x14ac:dyDescent="0.25">
      <c r="F46" t="str">
        <f t="shared" si="0"/>
        <v/>
      </c>
    </row>
    <row r="47" spans="6:6" x14ac:dyDescent="0.25">
      <c r="F47" t="str">
        <f t="shared" si="0"/>
        <v/>
      </c>
    </row>
    <row r="48" spans="6:6" x14ac:dyDescent="0.25">
      <c r="F48" t="str">
        <f t="shared" si="0"/>
        <v/>
      </c>
    </row>
    <row r="49" spans="6:6" x14ac:dyDescent="0.25">
      <c r="F49" t="str">
        <f t="shared" si="0"/>
        <v/>
      </c>
    </row>
    <row r="50" spans="6:6" x14ac:dyDescent="0.25">
      <c r="F50" t="str">
        <f t="shared" si="0"/>
        <v/>
      </c>
    </row>
    <row r="51" spans="6:6" x14ac:dyDescent="0.25">
      <c r="F51" t="str">
        <f t="shared" si="0"/>
        <v/>
      </c>
    </row>
    <row r="52" spans="6:6" x14ac:dyDescent="0.25">
      <c r="F52" t="str">
        <f t="shared" si="0"/>
        <v/>
      </c>
    </row>
    <row r="53" spans="6:6" x14ac:dyDescent="0.25">
      <c r="F53" t="str">
        <f t="shared" si="0"/>
        <v/>
      </c>
    </row>
    <row r="54" spans="6:6" x14ac:dyDescent="0.25">
      <c r="F54" t="str">
        <f t="shared" si="0"/>
        <v/>
      </c>
    </row>
    <row r="55" spans="6:6" x14ac:dyDescent="0.25">
      <c r="F55" t="str">
        <f t="shared" si="0"/>
        <v/>
      </c>
    </row>
    <row r="56" spans="6:6" x14ac:dyDescent="0.25">
      <c r="F56" t="str">
        <f t="shared" si="0"/>
        <v/>
      </c>
    </row>
    <row r="57" spans="6:6" x14ac:dyDescent="0.25">
      <c r="F57" t="str">
        <f t="shared" si="0"/>
        <v/>
      </c>
    </row>
    <row r="58" spans="6:6" x14ac:dyDescent="0.25">
      <c r="F58" t="str">
        <f t="shared" si="0"/>
        <v/>
      </c>
    </row>
    <row r="59" spans="6:6" x14ac:dyDescent="0.25">
      <c r="F59" t="str">
        <f t="shared" si="0"/>
        <v/>
      </c>
    </row>
    <row r="60" spans="6:6" x14ac:dyDescent="0.25">
      <c r="F60" t="str">
        <f t="shared" si="0"/>
        <v/>
      </c>
    </row>
    <row r="61" spans="6:6" x14ac:dyDescent="0.25">
      <c r="F61" t="str">
        <f t="shared" si="0"/>
        <v/>
      </c>
    </row>
    <row r="62" spans="6:6" x14ac:dyDescent="0.25">
      <c r="F62" t="str">
        <f t="shared" si="0"/>
        <v/>
      </c>
    </row>
    <row r="63" spans="6:6" x14ac:dyDescent="0.25">
      <c r="F63" t="str">
        <f t="shared" si="0"/>
        <v/>
      </c>
    </row>
    <row r="64" spans="6:6" x14ac:dyDescent="0.25">
      <c r="F64" t="str">
        <f t="shared" si="0"/>
        <v/>
      </c>
    </row>
    <row r="65" spans="6:6" x14ac:dyDescent="0.25">
      <c r="F65" t="str">
        <f t="shared" si="0"/>
        <v/>
      </c>
    </row>
    <row r="66" spans="6:6" x14ac:dyDescent="0.25">
      <c r="F66" t="str">
        <f t="shared" ref="F66:F129" si="1">IF(AND(D66&lt;&gt;"",E66&lt;&gt;""),E66-D66+1,"")</f>
        <v/>
      </c>
    </row>
    <row r="67" spans="6:6" x14ac:dyDescent="0.25">
      <c r="F67" t="str">
        <f t="shared" si="1"/>
        <v/>
      </c>
    </row>
    <row r="68" spans="6:6" x14ac:dyDescent="0.25">
      <c r="F68" t="str">
        <f t="shared" si="1"/>
        <v/>
      </c>
    </row>
    <row r="69" spans="6:6" x14ac:dyDescent="0.25">
      <c r="F69" t="str">
        <f t="shared" si="1"/>
        <v/>
      </c>
    </row>
    <row r="70" spans="6:6" x14ac:dyDescent="0.25">
      <c r="F70" t="str">
        <f t="shared" si="1"/>
        <v/>
      </c>
    </row>
    <row r="71" spans="6:6" x14ac:dyDescent="0.25">
      <c r="F71" t="str">
        <f t="shared" si="1"/>
        <v/>
      </c>
    </row>
    <row r="72" spans="6:6" x14ac:dyDescent="0.25">
      <c r="F72" t="str">
        <f t="shared" si="1"/>
        <v/>
      </c>
    </row>
    <row r="73" spans="6:6" x14ac:dyDescent="0.25">
      <c r="F73" t="str">
        <f t="shared" si="1"/>
        <v/>
      </c>
    </row>
    <row r="74" spans="6:6" x14ac:dyDescent="0.25">
      <c r="F74" t="str">
        <f t="shared" si="1"/>
        <v/>
      </c>
    </row>
    <row r="75" spans="6:6" x14ac:dyDescent="0.25">
      <c r="F75" t="str">
        <f t="shared" si="1"/>
        <v/>
      </c>
    </row>
    <row r="76" spans="6:6" x14ac:dyDescent="0.25">
      <c r="F76" t="str">
        <f t="shared" si="1"/>
        <v/>
      </c>
    </row>
    <row r="77" spans="6:6" x14ac:dyDescent="0.25">
      <c r="F77" t="str">
        <f t="shared" si="1"/>
        <v/>
      </c>
    </row>
    <row r="78" spans="6:6" x14ac:dyDescent="0.25">
      <c r="F78" t="str">
        <f t="shared" si="1"/>
        <v/>
      </c>
    </row>
    <row r="79" spans="6:6" x14ac:dyDescent="0.25">
      <c r="F79" t="str">
        <f t="shared" si="1"/>
        <v/>
      </c>
    </row>
    <row r="80" spans="6:6" x14ac:dyDescent="0.25">
      <c r="F80" t="str">
        <f t="shared" si="1"/>
        <v/>
      </c>
    </row>
    <row r="81" spans="6:6" x14ac:dyDescent="0.25">
      <c r="F81" t="str">
        <f t="shared" si="1"/>
        <v/>
      </c>
    </row>
    <row r="82" spans="6:6" x14ac:dyDescent="0.25">
      <c r="F82" t="str">
        <f t="shared" si="1"/>
        <v/>
      </c>
    </row>
    <row r="83" spans="6:6" x14ac:dyDescent="0.25">
      <c r="F83" t="str">
        <f t="shared" si="1"/>
        <v/>
      </c>
    </row>
    <row r="84" spans="6:6" x14ac:dyDescent="0.25">
      <c r="F84" t="str">
        <f t="shared" si="1"/>
        <v/>
      </c>
    </row>
    <row r="85" spans="6:6" x14ac:dyDescent="0.25">
      <c r="F85" t="str">
        <f t="shared" si="1"/>
        <v/>
      </c>
    </row>
    <row r="86" spans="6:6" x14ac:dyDescent="0.25">
      <c r="F86" t="str">
        <f t="shared" si="1"/>
        <v/>
      </c>
    </row>
    <row r="87" spans="6:6" x14ac:dyDescent="0.25">
      <c r="F87" t="str">
        <f t="shared" si="1"/>
        <v/>
      </c>
    </row>
    <row r="88" spans="6:6" x14ac:dyDescent="0.25">
      <c r="F88" t="str">
        <f t="shared" si="1"/>
        <v/>
      </c>
    </row>
    <row r="89" spans="6:6" x14ac:dyDescent="0.25">
      <c r="F89" t="str">
        <f t="shared" si="1"/>
        <v/>
      </c>
    </row>
    <row r="90" spans="6:6" x14ac:dyDescent="0.25">
      <c r="F90" t="str">
        <f t="shared" si="1"/>
        <v/>
      </c>
    </row>
    <row r="91" spans="6:6" x14ac:dyDescent="0.25">
      <c r="F91" t="str">
        <f t="shared" si="1"/>
        <v/>
      </c>
    </row>
    <row r="92" spans="6:6" x14ac:dyDescent="0.25">
      <c r="F92" t="str">
        <f t="shared" si="1"/>
        <v/>
      </c>
    </row>
    <row r="93" spans="6:6" x14ac:dyDescent="0.25">
      <c r="F93" t="str">
        <f t="shared" si="1"/>
        <v/>
      </c>
    </row>
    <row r="94" spans="6:6" x14ac:dyDescent="0.25">
      <c r="F94" t="str">
        <f t="shared" si="1"/>
        <v/>
      </c>
    </row>
    <row r="95" spans="6:6" x14ac:dyDescent="0.25">
      <c r="F95" t="str">
        <f t="shared" si="1"/>
        <v/>
      </c>
    </row>
    <row r="96" spans="6:6" x14ac:dyDescent="0.25">
      <c r="F96" t="str">
        <f t="shared" si="1"/>
        <v/>
      </c>
    </row>
    <row r="97" spans="6:6" x14ac:dyDescent="0.25">
      <c r="F97" t="str">
        <f t="shared" si="1"/>
        <v/>
      </c>
    </row>
    <row r="98" spans="6:6" x14ac:dyDescent="0.25">
      <c r="F98" t="str">
        <f t="shared" si="1"/>
        <v/>
      </c>
    </row>
    <row r="99" spans="6:6" x14ac:dyDescent="0.25">
      <c r="F99" t="str">
        <f t="shared" si="1"/>
        <v/>
      </c>
    </row>
    <row r="100" spans="6:6" x14ac:dyDescent="0.25">
      <c r="F100" t="str">
        <f t="shared" si="1"/>
        <v/>
      </c>
    </row>
    <row r="101" spans="6:6" x14ac:dyDescent="0.25">
      <c r="F101" t="str">
        <f t="shared" si="1"/>
        <v/>
      </c>
    </row>
    <row r="102" spans="6:6" x14ac:dyDescent="0.25">
      <c r="F102" t="str">
        <f t="shared" si="1"/>
        <v/>
      </c>
    </row>
    <row r="103" spans="6:6" x14ac:dyDescent="0.25">
      <c r="F103" t="str">
        <f t="shared" si="1"/>
        <v/>
      </c>
    </row>
    <row r="104" spans="6:6" x14ac:dyDescent="0.25">
      <c r="F104" t="str">
        <f t="shared" si="1"/>
        <v/>
      </c>
    </row>
    <row r="105" spans="6:6" x14ac:dyDescent="0.25">
      <c r="F105" t="str">
        <f t="shared" si="1"/>
        <v/>
      </c>
    </row>
    <row r="106" spans="6:6" x14ac:dyDescent="0.25">
      <c r="F106" t="str">
        <f t="shared" si="1"/>
        <v/>
      </c>
    </row>
    <row r="107" spans="6:6" x14ac:dyDescent="0.25">
      <c r="F107" t="str">
        <f t="shared" si="1"/>
        <v/>
      </c>
    </row>
    <row r="108" spans="6:6" x14ac:dyDescent="0.25">
      <c r="F108" t="str">
        <f t="shared" si="1"/>
        <v/>
      </c>
    </row>
    <row r="109" spans="6:6" x14ac:dyDescent="0.25">
      <c r="F109" t="str">
        <f t="shared" si="1"/>
        <v/>
      </c>
    </row>
    <row r="110" spans="6:6" x14ac:dyDescent="0.25">
      <c r="F110" t="str">
        <f t="shared" si="1"/>
        <v/>
      </c>
    </row>
    <row r="111" spans="6:6" x14ac:dyDescent="0.25">
      <c r="F111" t="str">
        <f t="shared" si="1"/>
        <v/>
      </c>
    </row>
    <row r="112" spans="6:6" x14ac:dyDescent="0.25">
      <c r="F112" t="str">
        <f t="shared" si="1"/>
        <v/>
      </c>
    </row>
    <row r="113" spans="6:6" x14ac:dyDescent="0.25">
      <c r="F113" t="str">
        <f t="shared" si="1"/>
        <v/>
      </c>
    </row>
    <row r="114" spans="6:6" x14ac:dyDescent="0.25">
      <c r="F114" t="str">
        <f t="shared" si="1"/>
        <v/>
      </c>
    </row>
    <row r="115" spans="6:6" x14ac:dyDescent="0.25">
      <c r="F115" t="str">
        <f t="shared" si="1"/>
        <v/>
      </c>
    </row>
    <row r="116" spans="6:6" x14ac:dyDescent="0.25">
      <c r="F116" t="str">
        <f t="shared" si="1"/>
        <v/>
      </c>
    </row>
    <row r="117" spans="6:6" x14ac:dyDescent="0.25">
      <c r="F117" t="str">
        <f t="shared" si="1"/>
        <v/>
      </c>
    </row>
    <row r="118" spans="6:6" x14ac:dyDescent="0.25">
      <c r="F118" t="str">
        <f t="shared" si="1"/>
        <v/>
      </c>
    </row>
    <row r="119" spans="6:6" x14ac:dyDescent="0.25">
      <c r="F119" t="str">
        <f t="shared" si="1"/>
        <v/>
      </c>
    </row>
    <row r="120" spans="6:6" x14ac:dyDescent="0.25">
      <c r="F120" t="str">
        <f t="shared" si="1"/>
        <v/>
      </c>
    </row>
    <row r="121" spans="6:6" x14ac:dyDescent="0.25">
      <c r="F121" t="str">
        <f t="shared" si="1"/>
        <v/>
      </c>
    </row>
    <row r="122" spans="6:6" x14ac:dyDescent="0.25">
      <c r="F122" t="str">
        <f t="shared" si="1"/>
        <v/>
      </c>
    </row>
    <row r="123" spans="6:6" x14ac:dyDescent="0.25">
      <c r="F123" t="str">
        <f t="shared" si="1"/>
        <v/>
      </c>
    </row>
    <row r="124" spans="6:6" x14ac:dyDescent="0.25">
      <c r="F124" t="str">
        <f t="shared" si="1"/>
        <v/>
      </c>
    </row>
    <row r="125" spans="6:6" x14ac:dyDescent="0.25">
      <c r="F125" t="str">
        <f t="shared" si="1"/>
        <v/>
      </c>
    </row>
    <row r="126" spans="6:6" x14ac:dyDescent="0.25">
      <c r="F126" t="str">
        <f t="shared" si="1"/>
        <v/>
      </c>
    </row>
    <row r="127" spans="6:6" x14ac:dyDescent="0.25">
      <c r="F127" t="str">
        <f t="shared" si="1"/>
        <v/>
      </c>
    </row>
    <row r="128" spans="6:6" x14ac:dyDescent="0.25">
      <c r="F128" t="str">
        <f t="shared" si="1"/>
        <v/>
      </c>
    </row>
    <row r="129" spans="6:6" x14ac:dyDescent="0.25">
      <c r="F129" t="str">
        <f t="shared" si="1"/>
        <v/>
      </c>
    </row>
    <row r="130" spans="6:6" x14ac:dyDescent="0.25">
      <c r="F130" t="str">
        <f t="shared" ref="F130:F193" si="2">IF(AND(D130&lt;&gt;"",E130&lt;&gt;""),E130-D130+1,"")</f>
        <v/>
      </c>
    </row>
    <row r="131" spans="6:6" x14ac:dyDescent="0.25">
      <c r="F131" t="str">
        <f t="shared" si="2"/>
        <v/>
      </c>
    </row>
    <row r="132" spans="6:6" x14ac:dyDescent="0.25">
      <c r="F132" t="str">
        <f t="shared" si="2"/>
        <v/>
      </c>
    </row>
    <row r="133" spans="6:6" x14ac:dyDescent="0.25">
      <c r="F133" t="str">
        <f t="shared" si="2"/>
        <v/>
      </c>
    </row>
    <row r="134" spans="6:6" x14ac:dyDescent="0.25">
      <c r="F134" t="str">
        <f t="shared" si="2"/>
        <v/>
      </c>
    </row>
    <row r="135" spans="6:6" x14ac:dyDescent="0.25">
      <c r="F135" t="str">
        <f t="shared" si="2"/>
        <v/>
      </c>
    </row>
    <row r="136" spans="6:6" x14ac:dyDescent="0.25">
      <c r="F136" t="str">
        <f t="shared" si="2"/>
        <v/>
      </c>
    </row>
    <row r="137" spans="6:6" x14ac:dyDescent="0.25">
      <c r="F137" t="str">
        <f t="shared" si="2"/>
        <v/>
      </c>
    </row>
    <row r="138" spans="6:6" x14ac:dyDescent="0.25">
      <c r="F138" t="str">
        <f t="shared" si="2"/>
        <v/>
      </c>
    </row>
    <row r="139" spans="6:6" x14ac:dyDescent="0.25">
      <c r="F139" t="str">
        <f t="shared" si="2"/>
        <v/>
      </c>
    </row>
    <row r="140" spans="6:6" x14ac:dyDescent="0.25">
      <c r="F140" t="str">
        <f t="shared" si="2"/>
        <v/>
      </c>
    </row>
    <row r="141" spans="6:6" x14ac:dyDescent="0.25">
      <c r="F141" t="str">
        <f t="shared" si="2"/>
        <v/>
      </c>
    </row>
    <row r="142" spans="6:6" x14ac:dyDescent="0.25">
      <c r="F142" t="str">
        <f t="shared" si="2"/>
        <v/>
      </c>
    </row>
    <row r="143" spans="6:6" x14ac:dyDescent="0.25">
      <c r="F143" t="str">
        <f t="shared" si="2"/>
        <v/>
      </c>
    </row>
    <row r="144" spans="6:6" x14ac:dyDescent="0.25">
      <c r="F144" t="str">
        <f t="shared" si="2"/>
        <v/>
      </c>
    </row>
    <row r="145" spans="6:6" x14ac:dyDescent="0.25">
      <c r="F145" t="str">
        <f t="shared" si="2"/>
        <v/>
      </c>
    </row>
    <row r="146" spans="6:6" x14ac:dyDescent="0.25">
      <c r="F146" t="str">
        <f t="shared" si="2"/>
        <v/>
      </c>
    </row>
    <row r="147" spans="6:6" x14ac:dyDescent="0.25">
      <c r="F147" t="str">
        <f t="shared" si="2"/>
        <v/>
      </c>
    </row>
    <row r="148" spans="6:6" x14ac:dyDescent="0.25">
      <c r="F148" t="str">
        <f t="shared" si="2"/>
        <v/>
      </c>
    </row>
    <row r="149" spans="6:6" x14ac:dyDescent="0.25">
      <c r="F149" t="str">
        <f t="shared" si="2"/>
        <v/>
      </c>
    </row>
    <row r="150" spans="6:6" x14ac:dyDescent="0.25">
      <c r="F150" t="str">
        <f t="shared" si="2"/>
        <v/>
      </c>
    </row>
    <row r="151" spans="6:6" x14ac:dyDescent="0.25">
      <c r="F151" t="str">
        <f t="shared" si="2"/>
        <v/>
      </c>
    </row>
    <row r="152" spans="6:6" x14ac:dyDescent="0.25">
      <c r="F152" t="str">
        <f t="shared" si="2"/>
        <v/>
      </c>
    </row>
    <row r="153" spans="6:6" x14ac:dyDescent="0.25">
      <c r="F153" t="str">
        <f t="shared" si="2"/>
        <v/>
      </c>
    </row>
    <row r="154" spans="6:6" x14ac:dyDescent="0.25">
      <c r="F154" t="str">
        <f t="shared" si="2"/>
        <v/>
      </c>
    </row>
    <row r="155" spans="6:6" x14ac:dyDescent="0.25">
      <c r="F155" t="str">
        <f t="shared" si="2"/>
        <v/>
      </c>
    </row>
    <row r="156" spans="6:6" x14ac:dyDescent="0.25">
      <c r="F156" t="str">
        <f t="shared" si="2"/>
        <v/>
      </c>
    </row>
    <row r="157" spans="6:6" x14ac:dyDescent="0.25">
      <c r="F157" t="str">
        <f t="shared" si="2"/>
        <v/>
      </c>
    </row>
    <row r="158" spans="6:6" x14ac:dyDescent="0.25">
      <c r="F158" t="str">
        <f t="shared" si="2"/>
        <v/>
      </c>
    </row>
    <row r="159" spans="6:6" x14ac:dyDescent="0.25">
      <c r="F159" t="str">
        <f t="shared" si="2"/>
        <v/>
      </c>
    </row>
    <row r="160" spans="6:6" x14ac:dyDescent="0.25">
      <c r="F160" t="str">
        <f t="shared" si="2"/>
        <v/>
      </c>
    </row>
    <row r="161" spans="6:6" x14ac:dyDescent="0.25">
      <c r="F161" t="str">
        <f t="shared" si="2"/>
        <v/>
      </c>
    </row>
    <row r="162" spans="6:6" x14ac:dyDescent="0.25">
      <c r="F162" t="str">
        <f t="shared" si="2"/>
        <v/>
      </c>
    </row>
    <row r="163" spans="6:6" x14ac:dyDescent="0.25">
      <c r="F163" t="str">
        <f t="shared" si="2"/>
        <v/>
      </c>
    </row>
    <row r="164" spans="6:6" x14ac:dyDescent="0.25">
      <c r="F164" t="str">
        <f t="shared" si="2"/>
        <v/>
      </c>
    </row>
    <row r="165" spans="6:6" x14ac:dyDescent="0.25">
      <c r="F165" t="str">
        <f t="shared" si="2"/>
        <v/>
      </c>
    </row>
    <row r="166" spans="6:6" x14ac:dyDescent="0.25">
      <c r="F166" t="str">
        <f t="shared" si="2"/>
        <v/>
      </c>
    </row>
    <row r="167" spans="6:6" x14ac:dyDescent="0.25">
      <c r="F167" t="str">
        <f t="shared" si="2"/>
        <v/>
      </c>
    </row>
    <row r="168" spans="6:6" x14ac:dyDescent="0.25">
      <c r="F168" t="str">
        <f t="shared" si="2"/>
        <v/>
      </c>
    </row>
    <row r="169" spans="6:6" x14ac:dyDescent="0.25">
      <c r="F169" t="str">
        <f t="shared" si="2"/>
        <v/>
      </c>
    </row>
    <row r="170" spans="6:6" x14ac:dyDescent="0.25">
      <c r="F170" t="str">
        <f t="shared" si="2"/>
        <v/>
      </c>
    </row>
    <row r="171" spans="6:6" x14ac:dyDescent="0.25">
      <c r="F171" t="str">
        <f t="shared" si="2"/>
        <v/>
      </c>
    </row>
    <row r="172" spans="6:6" x14ac:dyDescent="0.25">
      <c r="F172" t="str">
        <f t="shared" si="2"/>
        <v/>
      </c>
    </row>
    <row r="173" spans="6:6" x14ac:dyDescent="0.25">
      <c r="F173" t="str">
        <f t="shared" si="2"/>
        <v/>
      </c>
    </row>
    <row r="174" spans="6:6" x14ac:dyDescent="0.25">
      <c r="F174" t="str">
        <f t="shared" si="2"/>
        <v/>
      </c>
    </row>
    <row r="175" spans="6:6" x14ac:dyDescent="0.25">
      <c r="F175" t="str">
        <f t="shared" si="2"/>
        <v/>
      </c>
    </row>
    <row r="176" spans="6:6" x14ac:dyDescent="0.25">
      <c r="F176" t="str">
        <f t="shared" si="2"/>
        <v/>
      </c>
    </row>
    <row r="177" spans="6:6" x14ac:dyDescent="0.25">
      <c r="F177" t="str">
        <f t="shared" si="2"/>
        <v/>
      </c>
    </row>
    <row r="178" spans="6:6" x14ac:dyDescent="0.25">
      <c r="F178" t="str">
        <f t="shared" si="2"/>
        <v/>
      </c>
    </row>
    <row r="179" spans="6:6" x14ac:dyDescent="0.25">
      <c r="F179" t="str">
        <f t="shared" si="2"/>
        <v/>
      </c>
    </row>
    <row r="180" spans="6:6" x14ac:dyDescent="0.25">
      <c r="F180" t="str">
        <f t="shared" si="2"/>
        <v/>
      </c>
    </row>
    <row r="181" spans="6:6" x14ac:dyDescent="0.25">
      <c r="F181" t="str">
        <f t="shared" si="2"/>
        <v/>
      </c>
    </row>
    <row r="182" spans="6:6" x14ac:dyDescent="0.25">
      <c r="F182" t="str">
        <f t="shared" si="2"/>
        <v/>
      </c>
    </row>
    <row r="183" spans="6:6" x14ac:dyDescent="0.25">
      <c r="F183" t="str">
        <f t="shared" si="2"/>
        <v/>
      </c>
    </row>
    <row r="184" spans="6:6" x14ac:dyDescent="0.25">
      <c r="F184" t="str">
        <f t="shared" si="2"/>
        <v/>
      </c>
    </row>
    <row r="185" spans="6:6" x14ac:dyDescent="0.25">
      <c r="F185" t="str">
        <f t="shared" si="2"/>
        <v/>
      </c>
    </row>
    <row r="186" spans="6:6" x14ac:dyDescent="0.25">
      <c r="F186" t="str">
        <f t="shared" si="2"/>
        <v/>
      </c>
    </row>
    <row r="187" spans="6:6" x14ac:dyDescent="0.25">
      <c r="F187" t="str">
        <f t="shared" si="2"/>
        <v/>
      </c>
    </row>
    <row r="188" spans="6:6" x14ac:dyDescent="0.25">
      <c r="F188" t="str">
        <f t="shared" si="2"/>
        <v/>
      </c>
    </row>
    <row r="189" spans="6:6" x14ac:dyDescent="0.25">
      <c r="F189" t="str">
        <f t="shared" si="2"/>
        <v/>
      </c>
    </row>
    <row r="190" spans="6:6" x14ac:dyDescent="0.25">
      <c r="F190" t="str">
        <f t="shared" si="2"/>
        <v/>
      </c>
    </row>
    <row r="191" spans="6:6" x14ac:dyDescent="0.25">
      <c r="F191" t="str">
        <f t="shared" si="2"/>
        <v/>
      </c>
    </row>
    <row r="192" spans="6:6" x14ac:dyDescent="0.25">
      <c r="F192" t="str">
        <f t="shared" si="2"/>
        <v/>
      </c>
    </row>
    <row r="193" spans="6:6" x14ac:dyDescent="0.25">
      <c r="F193" t="str">
        <f t="shared" si="2"/>
        <v/>
      </c>
    </row>
    <row r="194" spans="6:6" x14ac:dyDescent="0.25">
      <c r="F194" t="str">
        <f t="shared" ref="F194:F257" si="3">IF(AND(D194&lt;&gt;"",E194&lt;&gt;""),E194-D194+1,"")</f>
        <v/>
      </c>
    </row>
    <row r="195" spans="6:6" x14ac:dyDescent="0.25">
      <c r="F195" t="str">
        <f t="shared" si="3"/>
        <v/>
      </c>
    </row>
    <row r="196" spans="6:6" x14ac:dyDescent="0.25">
      <c r="F196" t="str">
        <f t="shared" si="3"/>
        <v/>
      </c>
    </row>
    <row r="197" spans="6:6" x14ac:dyDescent="0.25">
      <c r="F197" t="str">
        <f t="shared" si="3"/>
        <v/>
      </c>
    </row>
    <row r="198" spans="6:6" x14ac:dyDescent="0.25">
      <c r="F198" t="str">
        <f t="shared" si="3"/>
        <v/>
      </c>
    </row>
    <row r="199" spans="6:6" x14ac:dyDescent="0.25">
      <c r="F199" t="str">
        <f t="shared" si="3"/>
        <v/>
      </c>
    </row>
    <row r="200" spans="6:6" x14ac:dyDescent="0.25">
      <c r="F200" t="str">
        <f t="shared" si="3"/>
        <v/>
      </c>
    </row>
    <row r="201" spans="6:6" x14ac:dyDescent="0.25">
      <c r="F201" t="str">
        <f t="shared" si="3"/>
        <v/>
      </c>
    </row>
    <row r="202" spans="6:6" x14ac:dyDescent="0.25">
      <c r="F202" t="str">
        <f t="shared" si="3"/>
        <v/>
      </c>
    </row>
    <row r="203" spans="6:6" x14ac:dyDescent="0.25">
      <c r="F203" t="str">
        <f t="shared" si="3"/>
        <v/>
      </c>
    </row>
    <row r="204" spans="6:6" x14ac:dyDescent="0.25">
      <c r="F204" t="str">
        <f t="shared" si="3"/>
        <v/>
      </c>
    </row>
    <row r="205" spans="6:6" x14ac:dyDescent="0.25">
      <c r="F205" t="str">
        <f t="shared" si="3"/>
        <v/>
      </c>
    </row>
    <row r="206" spans="6:6" x14ac:dyDescent="0.25">
      <c r="F206" t="str">
        <f t="shared" si="3"/>
        <v/>
      </c>
    </row>
    <row r="207" spans="6:6" x14ac:dyDescent="0.25">
      <c r="F207" t="str">
        <f t="shared" si="3"/>
        <v/>
      </c>
    </row>
    <row r="208" spans="6:6" x14ac:dyDescent="0.25">
      <c r="F208" t="str">
        <f t="shared" si="3"/>
        <v/>
      </c>
    </row>
    <row r="209" spans="6:6" x14ac:dyDescent="0.25">
      <c r="F209" t="str">
        <f t="shared" si="3"/>
        <v/>
      </c>
    </row>
    <row r="210" spans="6:6" x14ac:dyDescent="0.25">
      <c r="F210" t="str">
        <f t="shared" si="3"/>
        <v/>
      </c>
    </row>
    <row r="211" spans="6:6" x14ac:dyDescent="0.25">
      <c r="F211" t="str">
        <f t="shared" si="3"/>
        <v/>
      </c>
    </row>
    <row r="212" spans="6:6" x14ac:dyDescent="0.25">
      <c r="F212" t="str">
        <f t="shared" si="3"/>
        <v/>
      </c>
    </row>
    <row r="213" spans="6:6" x14ac:dyDescent="0.25">
      <c r="F213" t="str">
        <f t="shared" si="3"/>
        <v/>
      </c>
    </row>
    <row r="214" spans="6:6" x14ac:dyDescent="0.25">
      <c r="F214" t="str">
        <f t="shared" si="3"/>
        <v/>
      </c>
    </row>
    <row r="215" spans="6:6" x14ac:dyDescent="0.25">
      <c r="F215" t="str">
        <f t="shared" si="3"/>
        <v/>
      </c>
    </row>
    <row r="216" spans="6:6" x14ac:dyDescent="0.25">
      <c r="F216" t="str">
        <f t="shared" si="3"/>
        <v/>
      </c>
    </row>
    <row r="217" spans="6:6" x14ac:dyDescent="0.25">
      <c r="F217" t="str">
        <f t="shared" si="3"/>
        <v/>
      </c>
    </row>
    <row r="218" spans="6:6" x14ac:dyDescent="0.25">
      <c r="F218" t="str">
        <f t="shared" si="3"/>
        <v/>
      </c>
    </row>
    <row r="219" spans="6:6" x14ac:dyDescent="0.25">
      <c r="F219" t="str">
        <f t="shared" si="3"/>
        <v/>
      </c>
    </row>
    <row r="220" spans="6:6" x14ac:dyDescent="0.25">
      <c r="F220" t="str">
        <f t="shared" si="3"/>
        <v/>
      </c>
    </row>
    <row r="221" spans="6:6" x14ac:dyDescent="0.25">
      <c r="F221" t="str">
        <f t="shared" si="3"/>
        <v/>
      </c>
    </row>
    <row r="222" spans="6:6" x14ac:dyDescent="0.25">
      <c r="F222" t="str">
        <f t="shared" si="3"/>
        <v/>
      </c>
    </row>
    <row r="223" spans="6:6" x14ac:dyDescent="0.25">
      <c r="F223" t="str">
        <f t="shared" si="3"/>
        <v/>
      </c>
    </row>
    <row r="224" spans="6:6" x14ac:dyDescent="0.25">
      <c r="F224" t="str">
        <f t="shared" si="3"/>
        <v/>
      </c>
    </row>
    <row r="225" spans="6:6" x14ac:dyDescent="0.25">
      <c r="F225" t="str">
        <f t="shared" si="3"/>
        <v/>
      </c>
    </row>
    <row r="226" spans="6:6" x14ac:dyDescent="0.25">
      <c r="F226" t="str">
        <f t="shared" si="3"/>
        <v/>
      </c>
    </row>
    <row r="227" spans="6:6" x14ac:dyDescent="0.25">
      <c r="F227" t="str">
        <f t="shared" si="3"/>
        <v/>
      </c>
    </row>
    <row r="228" spans="6:6" x14ac:dyDescent="0.25">
      <c r="F228" t="str">
        <f t="shared" si="3"/>
        <v/>
      </c>
    </row>
    <row r="229" spans="6:6" x14ac:dyDescent="0.25">
      <c r="F229" t="str">
        <f t="shared" si="3"/>
        <v/>
      </c>
    </row>
    <row r="230" spans="6:6" x14ac:dyDescent="0.25">
      <c r="F230" t="str">
        <f t="shared" si="3"/>
        <v/>
      </c>
    </row>
    <row r="231" spans="6:6" x14ac:dyDescent="0.25">
      <c r="F231" t="str">
        <f t="shared" si="3"/>
        <v/>
      </c>
    </row>
    <row r="232" spans="6:6" x14ac:dyDescent="0.25">
      <c r="F232" t="str">
        <f t="shared" si="3"/>
        <v/>
      </c>
    </row>
    <row r="233" spans="6:6" x14ac:dyDescent="0.25">
      <c r="F233" t="str">
        <f t="shared" si="3"/>
        <v/>
      </c>
    </row>
    <row r="234" spans="6:6" x14ac:dyDescent="0.25">
      <c r="F234" t="str">
        <f t="shared" si="3"/>
        <v/>
      </c>
    </row>
    <row r="235" spans="6:6" x14ac:dyDescent="0.25">
      <c r="F235" t="str">
        <f t="shared" si="3"/>
        <v/>
      </c>
    </row>
    <row r="236" spans="6:6" x14ac:dyDescent="0.25">
      <c r="F236" t="str">
        <f t="shared" si="3"/>
        <v/>
      </c>
    </row>
    <row r="237" spans="6:6" x14ac:dyDescent="0.25">
      <c r="F237" t="str">
        <f t="shared" si="3"/>
        <v/>
      </c>
    </row>
    <row r="238" spans="6:6" x14ac:dyDescent="0.25">
      <c r="F238" t="str">
        <f t="shared" si="3"/>
        <v/>
      </c>
    </row>
    <row r="239" spans="6:6" x14ac:dyDescent="0.25">
      <c r="F239" t="str">
        <f t="shared" si="3"/>
        <v/>
      </c>
    </row>
    <row r="240" spans="6:6" x14ac:dyDescent="0.25">
      <c r="F240" t="str">
        <f t="shared" si="3"/>
        <v/>
      </c>
    </row>
    <row r="241" spans="6:6" x14ac:dyDescent="0.25">
      <c r="F241" t="str">
        <f t="shared" si="3"/>
        <v/>
      </c>
    </row>
    <row r="242" spans="6:6" x14ac:dyDescent="0.25">
      <c r="F242" t="str">
        <f t="shared" si="3"/>
        <v/>
      </c>
    </row>
    <row r="243" spans="6:6" x14ac:dyDescent="0.25">
      <c r="F243" t="str">
        <f t="shared" si="3"/>
        <v/>
      </c>
    </row>
    <row r="244" spans="6:6" x14ac:dyDescent="0.25">
      <c r="F244" t="str">
        <f t="shared" si="3"/>
        <v/>
      </c>
    </row>
    <row r="245" spans="6:6" x14ac:dyDescent="0.25">
      <c r="F245" t="str">
        <f t="shared" si="3"/>
        <v/>
      </c>
    </row>
    <row r="246" spans="6:6" x14ac:dyDescent="0.25">
      <c r="F246" t="str">
        <f t="shared" si="3"/>
        <v/>
      </c>
    </row>
    <row r="247" spans="6:6" x14ac:dyDescent="0.25">
      <c r="F247" t="str">
        <f t="shared" si="3"/>
        <v/>
      </c>
    </row>
    <row r="248" spans="6:6" x14ac:dyDescent="0.25">
      <c r="F248" t="str">
        <f t="shared" si="3"/>
        <v/>
      </c>
    </row>
    <row r="249" spans="6:6" x14ac:dyDescent="0.25">
      <c r="F249" t="str">
        <f t="shared" si="3"/>
        <v/>
      </c>
    </row>
    <row r="250" spans="6:6" x14ac:dyDescent="0.25">
      <c r="F250" t="str">
        <f t="shared" si="3"/>
        <v/>
      </c>
    </row>
    <row r="251" spans="6:6" x14ac:dyDescent="0.25">
      <c r="F251" t="str">
        <f t="shared" si="3"/>
        <v/>
      </c>
    </row>
    <row r="252" spans="6:6" x14ac:dyDescent="0.25">
      <c r="F252" t="str">
        <f t="shared" si="3"/>
        <v/>
      </c>
    </row>
    <row r="253" spans="6:6" x14ac:dyDescent="0.25">
      <c r="F253" t="str">
        <f t="shared" si="3"/>
        <v/>
      </c>
    </row>
    <row r="254" spans="6:6" x14ac:dyDescent="0.25">
      <c r="F254" t="str">
        <f t="shared" si="3"/>
        <v/>
      </c>
    </row>
    <row r="255" spans="6:6" x14ac:dyDescent="0.25">
      <c r="F255" t="str">
        <f t="shared" si="3"/>
        <v/>
      </c>
    </row>
    <row r="256" spans="6:6" x14ac:dyDescent="0.25">
      <c r="F256" t="str">
        <f t="shared" si="3"/>
        <v/>
      </c>
    </row>
    <row r="257" spans="6:6" x14ac:dyDescent="0.25">
      <c r="F257" t="str">
        <f t="shared" si="3"/>
        <v/>
      </c>
    </row>
    <row r="258" spans="6:6" x14ac:dyDescent="0.25">
      <c r="F258" t="str">
        <f t="shared" ref="F258:F321" si="4">IF(AND(D258&lt;&gt;"",E258&lt;&gt;""),E258-D258+1,"")</f>
        <v/>
      </c>
    </row>
    <row r="259" spans="6:6" x14ac:dyDescent="0.25">
      <c r="F259" t="str">
        <f t="shared" si="4"/>
        <v/>
      </c>
    </row>
    <row r="260" spans="6:6" x14ac:dyDescent="0.25">
      <c r="F260" t="str">
        <f t="shared" si="4"/>
        <v/>
      </c>
    </row>
    <row r="261" spans="6:6" x14ac:dyDescent="0.25">
      <c r="F261" t="str">
        <f t="shared" si="4"/>
        <v/>
      </c>
    </row>
    <row r="262" spans="6:6" x14ac:dyDescent="0.25">
      <c r="F262" t="str">
        <f t="shared" si="4"/>
        <v/>
      </c>
    </row>
    <row r="263" spans="6:6" x14ac:dyDescent="0.25">
      <c r="F263" t="str">
        <f t="shared" si="4"/>
        <v/>
      </c>
    </row>
    <row r="264" spans="6:6" x14ac:dyDescent="0.25">
      <c r="F264" t="str">
        <f t="shared" si="4"/>
        <v/>
      </c>
    </row>
    <row r="265" spans="6:6" x14ac:dyDescent="0.25">
      <c r="F265" t="str">
        <f t="shared" si="4"/>
        <v/>
      </c>
    </row>
    <row r="266" spans="6:6" x14ac:dyDescent="0.25">
      <c r="F266" t="str">
        <f t="shared" si="4"/>
        <v/>
      </c>
    </row>
    <row r="267" spans="6:6" x14ac:dyDescent="0.25">
      <c r="F267" t="str">
        <f t="shared" si="4"/>
        <v/>
      </c>
    </row>
    <row r="268" spans="6:6" x14ac:dyDescent="0.25">
      <c r="F268" t="str">
        <f t="shared" si="4"/>
        <v/>
      </c>
    </row>
    <row r="269" spans="6:6" x14ac:dyDescent="0.25">
      <c r="F269" t="str">
        <f t="shared" si="4"/>
        <v/>
      </c>
    </row>
    <row r="270" spans="6:6" x14ac:dyDescent="0.25">
      <c r="F270" t="str">
        <f t="shared" si="4"/>
        <v/>
      </c>
    </row>
    <row r="271" spans="6:6" x14ac:dyDescent="0.25">
      <c r="F271" t="str">
        <f t="shared" si="4"/>
        <v/>
      </c>
    </row>
    <row r="272" spans="6:6" x14ac:dyDescent="0.25">
      <c r="F272" t="str">
        <f t="shared" si="4"/>
        <v/>
      </c>
    </row>
    <row r="273" spans="6:6" x14ac:dyDescent="0.25">
      <c r="F273" t="str">
        <f t="shared" si="4"/>
        <v/>
      </c>
    </row>
    <row r="274" spans="6:6" x14ac:dyDescent="0.25">
      <c r="F274" t="str">
        <f t="shared" si="4"/>
        <v/>
      </c>
    </row>
    <row r="275" spans="6:6" x14ac:dyDescent="0.25">
      <c r="F275" t="str">
        <f t="shared" si="4"/>
        <v/>
      </c>
    </row>
    <row r="276" spans="6:6" x14ac:dyDescent="0.25">
      <c r="F276" t="str">
        <f t="shared" si="4"/>
        <v/>
      </c>
    </row>
    <row r="277" spans="6:6" x14ac:dyDescent="0.25">
      <c r="F277" t="str">
        <f t="shared" si="4"/>
        <v/>
      </c>
    </row>
    <row r="278" spans="6:6" x14ac:dyDescent="0.25">
      <c r="F278" t="str">
        <f t="shared" si="4"/>
        <v/>
      </c>
    </row>
    <row r="279" spans="6:6" x14ac:dyDescent="0.25">
      <c r="F279" t="str">
        <f t="shared" si="4"/>
        <v/>
      </c>
    </row>
    <row r="280" spans="6:6" x14ac:dyDescent="0.25">
      <c r="F280" t="str">
        <f t="shared" si="4"/>
        <v/>
      </c>
    </row>
    <row r="281" spans="6:6" x14ac:dyDescent="0.25">
      <c r="F281" t="str">
        <f t="shared" si="4"/>
        <v/>
      </c>
    </row>
    <row r="282" spans="6:6" x14ac:dyDescent="0.25">
      <c r="F282" t="str">
        <f t="shared" si="4"/>
        <v/>
      </c>
    </row>
    <row r="283" spans="6:6" x14ac:dyDescent="0.25">
      <c r="F283" t="str">
        <f t="shared" si="4"/>
        <v/>
      </c>
    </row>
    <row r="284" spans="6:6" x14ac:dyDescent="0.25">
      <c r="F284" t="str">
        <f t="shared" si="4"/>
        <v/>
      </c>
    </row>
    <row r="285" spans="6:6" x14ac:dyDescent="0.25">
      <c r="F285" t="str">
        <f t="shared" si="4"/>
        <v/>
      </c>
    </row>
    <row r="286" spans="6:6" x14ac:dyDescent="0.25">
      <c r="F286" t="str">
        <f t="shared" si="4"/>
        <v/>
      </c>
    </row>
    <row r="287" spans="6:6" x14ac:dyDescent="0.25">
      <c r="F287" t="str">
        <f t="shared" si="4"/>
        <v/>
      </c>
    </row>
    <row r="288" spans="6:6" x14ac:dyDescent="0.25">
      <c r="F288" t="str">
        <f t="shared" si="4"/>
        <v/>
      </c>
    </row>
    <row r="289" spans="6:6" x14ac:dyDescent="0.25">
      <c r="F289" t="str">
        <f t="shared" si="4"/>
        <v/>
      </c>
    </row>
    <row r="290" spans="6:6" x14ac:dyDescent="0.25">
      <c r="F290" t="str">
        <f t="shared" si="4"/>
        <v/>
      </c>
    </row>
    <row r="291" spans="6:6" x14ac:dyDescent="0.25">
      <c r="F291" t="str">
        <f t="shared" si="4"/>
        <v/>
      </c>
    </row>
    <row r="292" spans="6:6" x14ac:dyDescent="0.25">
      <c r="F292" t="str">
        <f t="shared" si="4"/>
        <v/>
      </c>
    </row>
    <row r="293" spans="6:6" x14ac:dyDescent="0.25">
      <c r="F293" t="str">
        <f t="shared" si="4"/>
        <v/>
      </c>
    </row>
    <row r="294" spans="6:6" x14ac:dyDescent="0.25">
      <c r="F294" t="str">
        <f t="shared" si="4"/>
        <v/>
      </c>
    </row>
    <row r="295" spans="6:6" x14ac:dyDescent="0.25">
      <c r="F295" t="str">
        <f t="shared" si="4"/>
        <v/>
      </c>
    </row>
    <row r="296" spans="6:6" x14ac:dyDescent="0.25">
      <c r="F296" t="str">
        <f t="shared" si="4"/>
        <v/>
      </c>
    </row>
    <row r="297" spans="6:6" x14ac:dyDescent="0.25">
      <c r="F297" t="str">
        <f t="shared" si="4"/>
        <v/>
      </c>
    </row>
    <row r="298" spans="6:6" x14ac:dyDescent="0.25">
      <c r="F298" t="str">
        <f t="shared" si="4"/>
        <v/>
      </c>
    </row>
    <row r="299" spans="6:6" x14ac:dyDescent="0.25">
      <c r="F299" t="str">
        <f t="shared" si="4"/>
        <v/>
      </c>
    </row>
    <row r="300" spans="6:6" x14ac:dyDescent="0.25">
      <c r="F300" t="str">
        <f t="shared" si="4"/>
        <v/>
      </c>
    </row>
    <row r="301" spans="6:6" x14ac:dyDescent="0.25">
      <c r="F301" t="str">
        <f t="shared" si="4"/>
        <v/>
      </c>
    </row>
    <row r="302" spans="6:6" x14ac:dyDescent="0.25">
      <c r="F302" t="str">
        <f t="shared" si="4"/>
        <v/>
      </c>
    </row>
    <row r="303" spans="6:6" x14ac:dyDescent="0.25">
      <c r="F303" t="str">
        <f t="shared" si="4"/>
        <v/>
      </c>
    </row>
    <row r="304" spans="6:6" x14ac:dyDescent="0.25">
      <c r="F304" t="str">
        <f t="shared" si="4"/>
        <v/>
      </c>
    </row>
    <row r="305" spans="6:6" x14ac:dyDescent="0.25">
      <c r="F305" t="str">
        <f t="shared" si="4"/>
        <v/>
      </c>
    </row>
    <row r="306" spans="6:6" x14ac:dyDescent="0.25">
      <c r="F306" t="str">
        <f t="shared" si="4"/>
        <v/>
      </c>
    </row>
    <row r="307" spans="6:6" x14ac:dyDescent="0.25">
      <c r="F307" t="str">
        <f t="shared" si="4"/>
        <v/>
      </c>
    </row>
    <row r="308" spans="6:6" x14ac:dyDescent="0.25">
      <c r="F308" t="str">
        <f t="shared" si="4"/>
        <v/>
      </c>
    </row>
    <row r="309" spans="6:6" x14ac:dyDescent="0.25">
      <c r="F309" t="str">
        <f t="shared" si="4"/>
        <v/>
      </c>
    </row>
    <row r="310" spans="6:6" x14ac:dyDescent="0.25">
      <c r="F310" t="str">
        <f t="shared" si="4"/>
        <v/>
      </c>
    </row>
    <row r="311" spans="6:6" x14ac:dyDescent="0.25">
      <c r="F311" t="str">
        <f t="shared" si="4"/>
        <v/>
      </c>
    </row>
    <row r="312" spans="6:6" x14ac:dyDescent="0.25">
      <c r="F312" t="str">
        <f t="shared" si="4"/>
        <v/>
      </c>
    </row>
    <row r="313" spans="6:6" x14ac:dyDescent="0.25">
      <c r="F313" t="str">
        <f t="shared" si="4"/>
        <v/>
      </c>
    </row>
    <row r="314" spans="6:6" x14ac:dyDescent="0.25">
      <c r="F314" t="str">
        <f t="shared" si="4"/>
        <v/>
      </c>
    </row>
    <row r="315" spans="6:6" x14ac:dyDescent="0.25">
      <c r="F315" t="str">
        <f t="shared" si="4"/>
        <v/>
      </c>
    </row>
    <row r="316" spans="6:6" x14ac:dyDescent="0.25">
      <c r="F316" t="str">
        <f t="shared" si="4"/>
        <v/>
      </c>
    </row>
    <row r="317" spans="6:6" x14ac:dyDescent="0.25">
      <c r="F317" t="str">
        <f t="shared" si="4"/>
        <v/>
      </c>
    </row>
    <row r="318" spans="6:6" x14ac:dyDescent="0.25">
      <c r="F318" t="str">
        <f t="shared" si="4"/>
        <v/>
      </c>
    </row>
    <row r="319" spans="6:6" x14ac:dyDescent="0.25">
      <c r="F319" t="str">
        <f t="shared" si="4"/>
        <v/>
      </c>
    </row>
    <row r="320" spans="6:6" x14ac:dyDescent="0.25">
      <c r="F320" t="str">
        <f t="shared" si="4"/>
        <v/>
      </c>
    </row>
    <row r="321" spans="6:6" x14ac:dyDescent="0.25">
      <c r="F321" t="str">
        <f t="shared" si="4"/>
        <v/>
      </c>
    </row>
    <row r="322" spans="6:6" x14ac:dyDescent="0.25">
      <c r="F322" t="str">
        <f t="shared" ref="F322:F385" si="5">IF(AND(D322&lt;&gt;"",E322&lt;&gt;""),E322-D322+1,"")</f>
        <v/>
      </c>
    </row>
    <row r="323" spans="6:6" x14ac:dyDescent="0.25">
      <c r="F323" t="str">
        <f t="shared" si="5"/>
        <v/>
      </c>
    </row>
    <row r="324" spans="6:6" x14ac:dyDescent="0.25">
      <c r="F324" t="str">
        <f t="shared" si="5"/>
        <v/>
      </c>
    </row>
    <row r="325" spans="6:6" x14ac:dyDescent="0.25">
      <c r="F325" t="str">
        <f t="shared" si="5"/>
        <v/>
      </c>
    </row>
    <row r="326" spans="6:6" x14ac:dyDescent="0.25">
      <c r="F326" t="str">
        <f t="shared" si="5"/>
        <v/>
      </c>
    </row>
    <row r="327" spans="6:6" x14ac:dyDescent="0.25">
      <c r="F327" t="str">
        <f t="shared" si="5"/>
        <v/>
      </c>
    </row>
    <row r="328" spans="6:6" x14ac:dyDescent="0.25">
      <c r="F328" t="str">
        <f t="shared" si="5"/>
        <v/>
      </c>
    </row>
    <row r="329" spans="6:6" x14ac:dyDescent="0.25">
      <c r="F329" t="str">
        <f t="shared" si="5"/>
        <v/>
      </c>
    </row>
    <row r="330" spans="6:6" x14ac:dyDescent="0.25">
      <c r="F330" t="str">
        <f t="shared" si="5"/>
        <v/>
      </c>
    </row>
    <row r="331" spans="6:6" x14ac:dyDescent="0.25">
      <c r="F331" t="str">
        <f t="shared" si="5"/>
        <v/>
      </c>
    </row>
    <row r="332" spans="6:6" x14ac:dyDescent="0.25">
      <c r="F332" t="str">
        <f t="shared" si="5"/>
        <v/>
      </c>
    </row>
    <row r="333" spans="6:6" x14ac:dyDescent="0.25">
      <c r="F333" t="str">
        <f t="shared" si="5"/>
        <v/>
      </c>
    </row>
    <row r="334" spans="6:6" x14ac:dyDescent="0.25">
      <c r="F334" t="str">
        <f t="shared" si="5"/>
        <v/>
      </c>
    </row>
    <row r="335" spans="6:6" x14ac:dyDescent="0.25">
      <c r="F335" t="str">
        <f t="shared" si="5"/>
        <v/>
      </c>
    </row>
    <row r="336" spans="6:6" x14ac:dyDescent="0.25">
      <c r="F336" t="str">
        <f t="shared" si="5"/>
        <v/>
      </c>
    </row>
    <row r="337" spans="6:6" x14ac:dyDescent="0.25">
      <c r="F337" t="str">
        <f t="shared" si="5"/>
        <v/>
      </c>
    </row>
    <row r="338" spans="6:6" x14ac:dyDescent="0.25">
      <c r="F338" t="str">
        <f t="shared" si="5"/>
        <v/>
      </c>
    </row>
    <row r="339" spans="6:6" x14ac:dyDescent="0.25">
      <c r="F339" t="str">
        <f t="shared" si="5"/>
        <v/>
      </c>
    </row>
    <row r="340" spans="6:6" x14ac:dyDescent="0.25">
      <c r="F340" t="str">
        <f t="shared" si="5"/>
        <v/>
      </c>
    </row>
    <row r="341" spans="6:6" x14ac:dyDescent="0.25">
      <c r="F341" t="str">
        <f t="shared" si="5"/>
        <v/>
      </c>
    </row>
    <row r="342" spans="6:6" x14ac:dyDescent="0.25">
      <c r="F342" t="str">
        <f t="shared" si="5"/>
        <v/>
      </c>
    </row>
    <row r="343" spans="6:6" x14ac:dyDescent="0.25">
      <c r="F343" t="str">
        <f t="shared" si="5"/>
        <v/>
      </c>
    </row>
    <row r="344" spans="6:6" x14ac:dyDescent="0.25">
      <c r="F344" t="str">
        <f t="shared" si="5"/>
        <v/>
      </c>
    </row>
    <row r="345" spans="6:6" x14ac:dyDescent="0.25">
      <c r="F345" t="str">
        <f t="shared" si="5"/>
        <v/>
      </c>
    </row>
    <row r="346" spans="6:6" x14ac:dyDescent="0.25">
      <c r="F346" t="str">
        <f t="shared" si="5"/>
        <v/>
      </c>
    </row>
    <row r="347" spans="6:6" x14ac:dyDescent="0.25">
      <c r="F347" t="str">
        <f t="shared" si="5"/>
        <v/>
      </c>
    </row>
    <row r="348" spans="6:6" x14ac:dyDescent="0.25">
      <c r="F348" t="str">
        <f t="shared" si="5"/>
        <v/>
      </c>
    </row>
    <row r="349" spans="6:6" x14ac:dyDescent="0.25">
      <c r="F349" t="str">
        <f t="shared" si="5"/>
        <v/>
      </c>
    </row>
    <row r="350" spans="6:6" x14ac:dyDescent="0.25">
      <c r="F350" t="str">
        <f t="shared" si="5"/>
        <v/>
      </c>
    </row>
    <row r="351" spans="6:6" x14ac:dyDescent="0.25">
      <c r="F351" t="str">
        <f t="shared" si="5"/>
        <v/>
      </c>
    </row>
    <row r="352" spans="6:6" x14ac:dyDescent="0.25">
      <c r="F352" t="str">
        <f t="shared" si="5"/>
        <v/>
      </c>
    </row>
    <row r="353" spans="6:6" x14ac:dyDescent="0.25">
      <c r="F353" t="str">
        <f t="shared" si="5"/>
        <v/>
      </c>
    </row>
    <row r="354" spans="6:6" x14ac:dyDescent="0.25">
      <c r="F354" t="str">
        <f t="shared" si="5"/>
        <v/>
      </c>
    </row>
    <row r="355" spans="6:6" x14ac:dyDescent="0.25">
      <c r="F355" t="str">
        <f t="shared" si="5"/>
        <v/>
      </c>
    </row>
    <row r="356" spans="6:6" x14ac:dyDescent="0.25">
      <c r="F356" t="str">
        <f t="shared" si="5"/>
        <v/>
      </c>
    </row>
    <row r="357" spans="6:6" x14ac:dyDescent="0.25">
      <c r="F357" t="str">
        <f t="shared" si="5"/>
        <v/>
      </c>
    </row>
    <row r="358" spans="6:6" x14ac:dyDescent="0.25">
      <c r="F358" t="str">
        <f t="shared" si="5"/>
        <v/>
      </c>
    </row>
    <row r="359" spans="6:6" x14ac:dyDescent="0.25">
      <c r="F359" t="str">
        <f t="shared" si="5"/>
        <v/>
      </c>
    </row>
    <row r="360" spans="6:6" x14ac:dyDescent="0.25">
      <c r="F360" t="str">
        <f t="shared" si="5"/>
        <v/>
      </c>
    </row>
    <row r="361" spans="6:6" x14ac:dyDescent="0.25">
      <c r="F361" t="str">
        <f t="shared" si="5"/>
        <v/>
      </c>
    </row>
    <row r="362" spans="6:6" x14ac:dyDescent="0.25">
      <c r="F362" t="str">
        <f t="shared" si="5"/>
        <v/>
      </c>
    </row>
    <row r="363" spans="6:6" x14ac:dyDescent="0.25">
      <c r="F363" t="str">
        <f t="shared" si="5"/>
        <v/>
      </c>
    </row>
    <row r="364" spans="6:6" x14ac:dyDescent="0.25">
      <c r="F364" t="str">
        <f t="shared" si="5"/>
        <v/>
      </c>
    </row>
    <row r="365" spans="6:6" x14ac:dyDescent="0.25">
      <c r="F365" t="str">
        <f t="shared" si="5"/>
        <v/>
      </c>
    </row>
    <row r="366" spans="6:6" x14ac:dyDescent="0.25">
      <c r="F366" t="str">
        <f t="shared" si="5"/>
        <v/>
      </c>
    </row>
    <row r="367" spans="6:6" x14ac:dyDescent="0.25">
      <c r="F367" t="str">
        <f t="shared" si="5"/>
        <v/>
      </c>
    </row>
    <row r="368" spans="6:6" x14ac:dyDescent="0.25">
      <c r="F368" t="str">
        <f t="shared" si="5"/>
        <v/>
      </c>
    </row>
    <row r="369" spans="6:6" x14ac:dyDescent="0.25">
      <c r="F369" t="str">
        <f t="shared" si="5"/>
        <v/>
      </c>
    </row>
    <row r="370" spans="6:6" x14ac:dyDescent="0.25">
      <c r="F370" t="str">
        <f t="shared" si="5"/>
        <v/>
      </c>
    </row>
    <row r="371" spans="6:6" x14ac:dyDescent="0.25">
      <c r="F371" t="str">
        <f t="shared" si="5"/>
        <v/>
      </c>
    </row>
    <row r="372" spans="6:6" x14ac:dyDescent="0.25">
      <c r="F372" t="str">
        <f t="shared" si="5"/>
        <v/>
      </c>
    </row>
    <row r="373" spans="6:6" x14ac:dyDescent="0.25">
      <c r="F373" t="str">
        <f t="shared" si="5"/>
        <v/>
      </c>
    </row>
    <row r="374" spans="6:6" x14ac:dyDescent="0.25">
      <c r="F374" t="str">
        <f t="shared" si="5"/>
        <v/>
      </c>
    </row>
    <row r="375" spans="6:6" x14ac:dyDescent="0.25">
      <c r="F375" t="str">
        <f t="shared" si="5"/>
        <v/>
      </c>
    </row>
    <row r="376" spans="6:6" x14ac:dyDescent="0.25">
      <c r="F376" t="str">
        <f t="shared" si="5"/>
        <v/>
      </c>
    </row>
    <row r="377" spans="6:6" x14ac:dyDescent="0.25">
      <c r="F377" t="str">
        <f t="shared" si="5"/>
        <v/>
      </c>
    </row>
    <row r="378" spans="6:6" x14ac:dyDescent="0.25">
      <c r="F378" t="str">
        <f t="shared" si="5"/>
        <v/>
      </c>
    </row>
    <row r="379" spans="6:6" x14ac:dyDescent="0.25">
      <c r="F379" t="str">
        <f t="shared" si="5"/>
        <v/>
      </c>
    </row>
    <row r="380" spans="6:6" x14ac:dyDescent="0.25">
      <c r="F380" t="str">
        <f t="shared" si="5"/>
        <v/>
      </c>
    </row>
    <row r="381" spans="6:6" x14ac:dyDescent="0.25">
      <c r="F381" t="str">
        <f t="shared" si="5"/>
        <v/>
      </c>
    </row>
    <row r="382" spans="6:6" x14ac:dyDescent="0.25">
      <c r="F382" t="str">
        <f t="shared" si="5"/>
        <v/>
      </c>
    </row>
    <row r="383" spans="6:6" x14ac:dyDescent="0.25">
      <c r="F383" t="str">
        <f t="shared" si="5"/>
        <v/>
      </c>
    </row>
    <row r="384" spans="6:6" x14ac:dyDescent="0.25">
      <c r="F384" t="str">
        <f t="shared" si="5"/>
        <v/>
      </c>
    </row>
    <row r="385" spans="6:6" x14ac:dyDescent="0.25">
      <c r="F385" t="str">
        <f t="shared" si="5"/>
        <v/>
      </c>
    </row>
    <row r="386" spans="6:6" x14ac:dyDescent="0.25">
      <c r="F386" t="str">
        <f t="shared" ref="F386:F449" si="6">IF(AND(D386&lt;&gt;"",E386&lt;&gt;""),E386-D386+1,"")</f>
        <v/>
      </c>
    </row>
    <row r="387" spans="6:6" x14ac:dyDescent="0.25">
      <c r="F387" t="str">
        <f t="shared" si="6"/>
        <v/>
      </c>
    </row>
    <row r="388" spans="6:6" x14ac:dyDescent="0.25">
      <c r="F388" t="str">
        <f t="shared" si="6"/>
        <v/>
      </c>
    </row>
    <row r="389" spans="6:6" x14ac:dyDescent="0.25">
      <c r="F389" t="str">
        <f t="shared" si="6"/>
        <v/>
      </c>
    </row>
    <row r="390" spans="6:6" x14ac:dyDescent="0.25">
      <c r="F390" t="str">
        <f t="shared" si="6"/>
        <v/>
      </c>
    </row>
    <row r="391" spans="6:6" x14ac:dyDescent="0.25">
      <c r="F391" t="str">
        <f t="shared" si="6"/>
        <v/>
      </c>
    </row>
    <row r="392" spans="6:6" x14ac:dyDescent="0.25">
      <c r="F392" t="str">
        <f t="shared" si="6"/>
        <v/>
      </c>
    </row>
    <row r="393" spans="6:6" x14ac:dyDescent="0.25">
      <c r="F393" t="str">
        <f t="shared" si="6"/>
        <v/>
      </c>
    </row>
    <row r="394" spans="6:6" x14ac:dyDescent="0.25">
      <c r="F394" t="str">
        <f t="shared" si="6"/>
        <v/>
      </c>
    </row>
    <row r="395" spans="6:6" x14ac:dyDescent="0.25">
      <c r="F395" t="str">
        <f t="shared" si="6"/>
        <v/>
      </c>
    </row>
    <row r="396" spans="6:6" x14ac:dyDescent="0.25">
      <c r="F396" t="str">
        <f t="shared" si="6"/>
        <v/>
      </c>
    </row>
    <row r="397" spans="6:6" x14ac:dyDescent="0.25">
      <c r="F397" t="str">
        <f t="shared" si="6"/>
        <v/>
      </c>
    </row>
    <row r="398" spans="6:6" x14ac:dyDescent="0.25">
      <c r="F398" t="str">
        <f t="shared" si="6"/>
        <v/>
      </c>
    </row>
    <row r="399" spans="6:6" x14ac:dyDescent="0.25">
      <c r="F399" t="str">
        <f t="shared" si="6"/>
        <v/>
      </c>
    </row>
    <row r="400" spans="6:6" x14ac:dyDescent="0.25">
      <c r="F400" t="str">
        <f t="shared" si="6"/>
        <v/>
      </c>
    </row>
    <row r="401" spans="6:6" x14ac:dyDescent="0.25">
      <c r="F401" t="str">
        <f t="shared" si="6"/>
        <v/>
      </c>
    </row>
    <row r="402" spans="6:6" x14ac:dyDescent="0.25">
      <c r="F402" t="str">
        <f t="shared" si="6"/>
        <v/>
      </c>
    </row>
    <row r="403" spans="6:6" x14ac:dyDescent="0.25">
      <c r="F403" t="str">
        <f t="shared" si="6"/>
        <v/>
      </c>
    </row>
    <row r="404" spans="6:6" x14ac:dyDescent="0.25">
      <c r="F404" t="str">
        <f t="shared" si="6"/>
        <v/>
      </c>
    </row>
    <row r="405" spans="6:6" x14ac:dyDescent="0.25">
      <c r="F405" t="str">
        <f t="shared" si="6"/>
        <v/>
      </c>
    </row>
    <row r="406" spans="6:6" x14ac:dyDescent="0.25">
      <c r="F406" t="str">
        <f t="shared" si="6"/>
        <v/>
      </c>
    </row>
    <row r="407" spans="6:6" x14ac:dyDescent="0.25">
      <c r="F407" t="str">
        <f t="shared" si="6"/>
        <v/>
      </c>
    </row>
    <row r="408" spans="6:6" x14ac:dyDescent="0.25">
      <c r="F408" t="str">
        <f t="shared" si="6"/>
        <v/>
      </c>
    </row>
    <row r="409" spans="6:6" x14ac:dyDescent="0.25">
      <c r="F409" t="str">
        <f t="shared" si="6"/>
        <v/>
      </c>
    </row>
    <row r="410" spans="6:6" x14ac:dyDescent="0.25">
      <c r="F410" t="str">
        <f t="shared" si="6"/>
        <v/>
      </c>
    </row>
    <row r="411" spans="6:6" x14ac:dyDescent="0.25">
      <c r="F411" t="str">
        <f t="shared" si="6"/>
        <v/>
      </c>
    </row>
    <row r="412" spans="6:6" x14ac:dyDescent="0.25">
      <c r="F412" t="str">
        <f t="shared" si="6"/>
        <v/>
      </c>
    </row>
    <row r="413" spans="6:6" x14ac:dyDescent="0.25">
      <c r="F413" t="str">
        <f t="shared" si="6"/>
        <v/>
      </c>
    </row>
    <row r="414" spans="6:6" x14ac:dyDescent="0.25">
      <c r="F414" t="str">
        <f t="shared" si="6"/>
        <v/>
      </c>
    </row>
    <row r="415" spans="6:6" x14ac:dyDescent="0.25">
      <c r="F415" t="str">
        <f t="shared" si="6"/>
        <v/>
      </c>
    </row>
    <row r="416" spans="6:6" x14ac:dyDescent="0.25">
      <c r="F416" t="str">
        <f t="shared" si="6"/>
        <v/>
      </c>
    </row>
    <row r="417" spans="6:6" x14ac:dyDescent="0.25">
      <c r="F417" t="str">
        <f t="shared" si="6"/>
        <v/>
      </c>
    </row>
    <row r="418" spans="6:6" x14ac:dyDescent="0.25">
      <c r="F418" t="str">
        <f t="shared" si="6"/>
        <v/>
      </c>
    </row>
    <row r="419" spans="6:6" x14ac:dyDescent="0.25">
      <c r="F419" t="str">
        <f t="shared" si="6"/>
        <v/>
      </c>
    </row>
    <row r="420" spans="6:6" x14ac:dyDescent="0.25">
      <c r="F420" t="str">
        <f t="shared" si="6"/>
        <v/>
      </c>
    </row>
    <row r="421" spans="6:6" x14ac:dyDescent="0.25">
      <c r="F421" t="str">
        <f t="shared" si="6"/>
        <v/>
      </c>
    </row>
    <row r="422" spans="6:6" x14ac:dyDescent="0.25">
      <c r="F422" t="str">
        <f t="shared" si="6"/>
        <v/>
      </c>
    </row>
    <row r="423" spans="6:6" x14ac:dyDescent="0.25">
      <c r="F423" t="str">
        <f t="shared" si="6"/>
        <v/>
      </c>
    </row>
    <row r="424" spans="6:6" x14ac:dyDescent="0.25">
      <c r="F424" t="str">
        <f t="shared" si="6"/>
        <v/>
      </c>
    </row>
    <row r="425" spans="6:6" x14ac:dyDescent="0.25">
      <c r="F425" t="str">
        <f t="shared" si="6"/>
        <v/>
      </c>
    </row>
    <row r="426" spans="6:6" x14ac:dyDescent="0.25">
      <c r="F426" t="str">
        <f t="shared" si="6"/>
        <v/>
      </c>
    </row>
    <row r="427" spans="6:6" x14ac:dyDescent="0.25">
      <c r="F427" t="str">
        <f t="shared" si="6"/>
        <v/>
      </c>
    </row>
    <row r="428" spans="6:6" x14ac:dyDescent="0.25">
      <c r="F428" t="str">
        <f t="shared" si="6"/>
        <v/>
      </c>
    </row>
    <row r="429" spans="6:6" x14ac:dyDescent="0.25">
      <c r="F429" t="str">
        <f t="shared" si="6"/>
        <v/>
      </c>
    </row>
    <row r="430" spans="6:6" x14ac:dyDescent="0.25">
      <c r="F430" t="str">
        <f t="shared" si="6"/>
        <v/>
      </c>
    </row>
    <row r="431" spans="6:6" x14ac:dyDescent="0.25">
      <c r="F431" t="str">
        <f t="shared" si="6"/>
        <v/>
      </c>
    </row>
    <row r="432" spans="6:6" x14ac:dyDescent="0.25">
      <c r="F432" t="str">
        <f t="shared" si="6"/>
        <v/>
      </c>
    </row>
    <row r="433" spans="6:6" x14ac:dyDescent="0.25">
      <c r="F433" t="str">
        <f t="shared" si="6"/>
        <v/>
      </c>
    </row>
    <row r="434" spans="6:6" x14ac:dyDescent="0.25">
      <c r="F434" t="str">
        <f t="shared" si="6"/>
        <v/>
      </c>
    </row>
    <row r="435" spans="6:6" x14ac:dyDescent="0.25">
      <c r="F435" t="str">
        <f t="shared" si="6"/>
        <v/>
      </c>
    </row>
    <row r="436" spans="6:6" x14ac:dyDescent="0.25">
      <c r="F436" t="str">
        <f t="shared" si="6"/>
        <v/>
      </c>
    </row>
    <row r="437" spans="6:6" x14ac:dyDescent="0.25">
      <c r="F437" t="str">
        <f t="shared" si="6"/>
        <v/>
      </c>
    </row>
    <row r="438" spans="6:6" x14ac:dyDescent="0.25">
      <c r="F438" t="str">
        <f t="shared" si="6"/>
        <v/>
      </c>
    </row>
    <row r="439" spans="6:6" x14ac:dyDescent="0.25">
      <c r="F439" t="str">
        <f t="shared" si="6"/>
        <v/>
      </c>
    </row>
    <row r="440" spans="6:6" x14ac:dyDescent="0.25">
      <c r="F440" t="str">
        <f t="shared" si="6"/>
        <v/>
      </c>
    </row>
    <row r="441" spans="6:6" x14ac:dyDescent="0.25">
      <c r="F441" t="str">
        <f t="shared" si="6"/>
        <v/>
      </c>
    </row>
    <row r="442" spans="6:6" x14ac:dyDescent="0.25">
      <c r="F442" t="str">
        <f t="shared" si="6"/>
        <v/>
      </c>
    </row>
    <row r="443" spans="6:6" x14ac:dyDescent="0.25">
      <c r="F443" t="str">
        <f t="shared" si="6"/>
        <v/>
      </c>
    </row>
    <row r="444" spans="6:6" x14ac:dyDescent="0.25">
      <c r="F444" t="str">
        <f t="shared" si="6"/>
        <v/>
      </c>
    </row>
    <row r="445" spans="6:6" x14ac:dyDescent="0.25">
      <c r="F445" t="str">
        <f t="shared" si="6"/>
        <v/>
      </c>
    </row>
    <row r="446" spans="6:6" x14ac:dyDescent="0.25">
      <c r="F446" t="str">
        <f t="shared" si="6"/>
        <v/>
      </c>
    </row>
    <row r="447" spans="6:6" x14ac:dyDescent="0.25">
      <c r="F447" t="str">
        <f t="shared" si="6"/>
        <v/>
      </c>
    </row>
    <row r="448" spans="6:6" x14ac:dyDescent="0.25">
      <c r="F448" t="str">
        <f t="shared" si="6"/>
        <v/>
      </c>
    </row>
    <row r="449" spans="6:6" x14ac:dyDescent="0.25">
      <c r="F449" t="str">
        <f t="shared" si="6"/>
        <v/>
      </c>
    </row>
    <row r="450" spans="6:6" x14ac:dyDescent="0.25">
      <c r="F450" t="str">
        <f t="shared" ref="F450:F513" si="7">IF(AND(D450&lt;&gt;"",E450&lt;&gt;""),E450-D450+1,"")</f>
        <v/>
      </c>
    </row>
    <row r="451" spans="6:6" x14ac:dyDescent="0.25">
      <c r="F451" t="str">
        <f t="shared" si="7"/>
        <v/>
      </c>
    </row>
    <row r="452" spans="6:6" x14ac:dyDescent="0.25">
      <c r="F452" t="str">
        <f t="shared" si="7"/>
        <v/>
      </c>
    </row>
    <row r="453" spans="6:6" x14ac:dyDescent="0.25">
      <c r="F453" t="str">
        <f t="shared" si="7"/>
        <v/>
      </c>
    </row>
    <row r="454" spans="6:6" x14ac:dyDescent="0.25">
      <c r="F454" t="str">
        <f t="shared" si="7"/>
        <v/>
      </c>
    </row>
    <row r="455" spans="6:6" x14ac:dyDescent="0.25">
      <c r="F455" t="str">
        <f t="shared" si="7"/>
        <v/>
      </c>
    </row>
    <row r="456" spans="6:6" x14ac:dyDescent="0.25">
      <c r="F456" t="str">
        <f t="shared" si="7"/>
        <v/>
      </c>
    </row>
    <row r="457" spans="6:6" x14ac:dyDescent="0.25">
      <c r="F457" t="str">
        <f t="shared" si="7"/>
        <v/>
      </c>
    </row>
    <row r="458" spans="6:6" x14ac:dyDescent="0.25">
      <c r="F458" t="str">
        <f t="shared" si="7"/>
        <v/>
      </c>
    </row>
    <row r="459" spans="6:6" x14ac:dyDescent="0.25">
      <c r="F459" t="str">
        <f t="shared" si="7"/>
        <v/>
      </c>
    </row>
    <row r="460" spans="6:6" x14ac:dyDescent="0.25">
      <c r="F460" t="str">
        <f t="shared" si="7"/>
        <v/>
      </c>
    </row>
    <row r="461" spans="6:6" x14ac:dyDescent="0.25">
      <c r="F461" t="str">
        <f t="shared" si="7"/>
        <v/>
      </c>
    </row>
    <row r="462" spans="6:6" x14ac:dyDescent="0.25">
      <c r="F462" t="str">
        <f t="shared" si="7"/>
        <v/>
      </c>
    </row>
    <row r="463" spans="6:6" x14ac:dyDescent="0.25">
      <c r="F463" t="str">
        <f t="shared" si="7"/>
        <v/>
      </c>
    </row>
    <row r="464" spans="6:6" x14ac:dyDescent="0.25">
      <c r="F464" t="str">
        <f t="shared" si="7"/>
        <v/>
      </c>
    </row>
    <row r="465" spans="6:6" x14ac:dyDescent="0.25">
      <c r="F465" t="str">
        <f t="shared" si="7"/>
        <v/>
      </c>
    </row>
    <row r="466" spans="6:6" x14ac:dyDescent="0.25">
      <c r="F466" t="str">
        <f t="shared" si="7"/>
        <v/>
      </c>
    </row>
    <row r="467" spans="6:6" x14ac:dyDescent="0.25">
      <c r="F467" t="str">
        <f t="shared" si="7"/>
        <v/>
      </c>
    </row>
    <row r="468" spans="6:6" x14ac:dyDescent="0.25">
      <c r="F468" t="str">
        <f t="shared" si="7"/>
        <v/>
      </c>
    </row>
    <row r="469" spans="6:6" x14ac:dyDescent="0.25">
      <c r="F469" t="str">
        <f t="shared" si="7"/>
        <v/>
      </c>
    </row>
    <row r="470" spans="6:6" x14ac:dyDescent="0.25">
      <c r="F470" t="str">
        <f t="shared" si="7"/>
        <v/>
      </c>
    </row>
    <row r="471" spans="6:6" x14ac:dyDescent="0.25">
      <c r="F471" t="str">
        <f t="shared" si="7"/>
        <v/>
      </c>
    </row>
    <row r="472" spans="6:6" x14ac:dyDescent="0.25">
      <c r="F472" t="str">
        <f t="shared" si="7"/>
        <v/>
      </c>
    </row>
    <row r="473" spans="6:6" x14ac:dyDescent="0.25">
      <c r="F473" t="str">
        <f t="shared" si="7"/>
        <v/>
      </c>
    </row>
    <row r="474" spans="6:6" x14ac:dyDescent="0.25">
      <c r="F474" t="str">
        <f t="shared" si="7"/>
        <v/>
      </c>
    </row>
    <row r="475" spans="6:6" x14ac:dyDescent="0.25">
      <c r="F475" t="str">
        <f t="shared" si="7"/>
        <v/>
      </c>
    </row>
    <row r="476" spans="6:6" x14ac:dyDescent="0.25">
      <c r="F476" t="str">
        <f t="shared" si="7"/>
        <v/>
      </c>
    </row>
    <row r="477" spans="6:6" x14ac:dyDescent="0.25">
      <c r="F477" t="str">
        <f t="shared" si="7"/>
        <v/>
      </c>
    </row>
    <row r="478" spans="6:6" x14ac:dyDescent="0.25">
      <c r="F478" t="str">
        <f t="shared" si="7"/>
        <v/>
      </c>
    </row>
    <row r="479" spans="6:6" x14ac:dyDescent="0.25">
      <c r="F479" t="str">
        <f t="shared" si="7"/>
        <v/>
      </c>
    </row>
    <row r="480" spans="6:6" x14ac:dyDescent="0.25">
      <c r="F480" t="str">
        <f t="shared" si="7"/>
        <v/>
      </c>
    </row>
    <row r="481" spans="6:6" x14ac:dyDescent="0.25">
      <c r="F481" t="str">
        <f t="shared" si="7"/>
        <v/>
      </c>
    </row>
    <row r="482" spans="6:6" x14ac:dyDescent="0.25">
      <c r="F482" t="str">
        <f t="shared" si="7"/>
        <v/>
      </c>
    </row>
    <row r="483" spans="6:6" x14ac:dyDescent="0.25">
      <c r="F483" t="str">
        <f t="shared" si="7"/>
        <v/>
      </c>
    </row>
    <row r="484" spans="6:6" x14ac:dyDescent="0.25">
      <c r="F484" t="str">
        <f t="shared" si="7"/>
        <v/>
      </c>
    </row>
    <row r="485" spans="6:6" x14ac:dyDescent="0.25">
      <c r="F485" t="str">
        <f t="shared" si="7"/>
        <v/>
      </c>
    </row>
    <row r="486" spans="6:6" x14ac:dyDescent="0.25">
      <c r="F486" t="str">
        <f t="shared" si="7"/>
        <v/>
      </c>
    </row>
    <row r="487" spans="6:6" x14ac:dyDescent="0.25">
      <c r="F487" t="str">
        <f t="shared" si="7"/>
        <v/>
      </c>
    </row>
    <row r="488" spans="6:6" x14ac:dyDescent="0.25">
      <c r="F488" t="str">
        <f t="shared" si="7"/>
        <v/>
      </c>
    </row>
    <row r="489" spans="6:6" x14ac:dyDescent="0.25">
      <c r="F489" t="str">
        <f t="shared" si="7"/>
        <v/>
      </c>
    </row>
    <row r="490" spans="6:6" x14ac:dyDescent="0.25">
      <c r="F490" t="str">
        <f t="shared" si="7"/>
        <v/>
      </c>
    </row>
    <row r="491" spans="6:6" x14ac:dyDescent="0.25">
      <c r="F491" t="str">
        <f t="shared" si="7"/>
        <v/>
      </c>
    </row>
    <row r="492" spans="6:6" x14ac:dyDescent="0.25">
      <c r="F492" t="str">
        <f t="shared" si="7"/>
        <v/>
      </c>
    </row>
    <row r="493" spans="6:6" x14ac:dyDescent="0.25">
      <c r="F493" t="str">
        <f t="shared" si="7"/>
        <v/>
      </c>
    </row>
    <row r="494" spans="6:6" x14ac:dyDescent="0.25">
      <c r="F494" t="str">
        <f t="shared" si="7"/>
        <v/>
      </c>
    </row>
    <row r="495" spans="6:6" x14ac:dyDescent="0.25">
      <c r="F495" t="str">
        <f t="shared" si="7"/>
        <v/>
      </c>
    </row>
    <row r="496" spans="6:6" x14ac:dyDescent="0.25">
      <c r="F496" t="str">
        <f t="shared" si="7"/>
        <v/>
      </c>
    </row>
    <row r="497" spans="6:6" x14ac:dyDescent="0.25">
      <c r="F497" t="str">
        <f t="shared" si="7"/>
        <v/>
      </c>
    </row>
    <row r="498" spans="6:6" x14ac:dyDescent="0.25">
      <c r="F498" t="str">
        <f t="shared" si="7"/>
        <v/>
      </c>
    </row>
    <row r="499" spans="6:6" x14ac:dyDescent="0.25">
      <c r="F499" t="str">
        <f t="shared" si="7"/>
        <v/>
      </c>
    </row>
    <row r="500" spans="6:6" x14ac:dyDescent="0.25">
      <c r="F500" t="str">
        <f t="shared" si="7"/>
        <v/>
      </c>
    </row>
    <row r="501" spans="6:6" x14ac:dyDescent="0.25">
      <c r="F501" t="str">
        <f t="shared" si="7"/>
        <v/>
      </c>
    </row>
    <row r="502" spans="6:6" x14ac:dyDescent="0.25">
      <c r="F502" t="str">
        <f t="shared" si="7"/>
        <v/>
      </c>
    </row>
    <row r="503" spans="6:6" x14ac:dyDescent="0.25">
      <c r="F503" t="str">
        <f t="shared" si="7"/>
        <v/>
      </c>
    </row>
    <row r="504" spans="6:6" x14ac:dyDescent="0.25">
      <c r="F504" t="str">
        <f t="shared" si="7"/>
        <v/>
      </c>
    </row>
    <row r="505" spans="6:6" x14ac:dyDescent="0.25">
      <c r="F505" t="str">
        <f t="shared" si="7"/>
        <v/>
      </c>
    </row>
    <row r="506" spans="6:6" x14ac:dyDescent="0.25">
      <c r="F506" t="str">
        <f t="shared" si="7"/>
        <v/>
      </c>
    </row>
    <row r="507" spans="6:6" x14ac:dyDescent="0.25">
      <c r="F507" t="str">
        <f t="shared" si="7"/>
        <v/>
      </c>
    </row>
    <row r="508" spans="6:6" x14ac:dyDescent="0.25">
      <c r="F508" t="str">
        <f t="shared" si="7"/>
        <v/>
      </c>
    </row>
    <row r="509" spans="6:6" x14ac:dyDescent="0.25">
      <c r="F509" t="str">
        <f t="shared" si="7"/>
        <v/>
      </c>
    </row>
    <row r="510" spans="6:6" x14ac:dyDescent="0.25">
      <c r="F510" t="str">
        <f t="shared" si="7"/>
        <v/>
      </c>
    </row>
    <row r="511" spans="6:6" x14ac:dyDescent="0.25">
      <c r="F511" t="str">
        <f t="shared" si="7"/>
        <v/>
      </c>
    </row>
    <row r="512" spans="6:6" x14ac:dyDescent="0.25">
      <c r="F512" t="str">
        <f t="shared" si="7"/>
        <v/>
      </c>
    </row>
    <row r="513" spans="6:6" x14ac:dyDescent="0.25">
      <c r="F513" t="str">
        <f t="shared" si="7"/>
        <v/>
      </c>
    </row>
    <row r="514" spans="6:6" x14ac:dyDescent="0.25">
      <c r="F514" t="str">
        <f t="shared" ref="F514:F577" si="8">IF(AND(D514&lt;&gt;"",E514&lt;&gt;""),E514-D514+1,"")</f>
        <v/>
      </c>
    </row>
    <row r="515" spans="6:6" x14ac:dyDescent="0.25">
      <c r="F515" t="str">
        <f t="shared" si="8"/>
        <v/>
      </c>
    </row>
    <row r="516" spans="6:6" x14ac:dyDescent="0.25">
      <c r="F516" t="str">
        <f t="shared" si="8"/>
        <v/>
      </c>
    </row>
    <row r="517" spans="6:6" x14ac:dyDescent="0.25">
      <c r="F517" t="str">
        <f t="shared" si="8"/>
        <v/>
      </c>
    </row>
    <row r="518" spans="6:6" x14ac:dyDescent="0.25">
      <c r="F518" t="str">
        <f t="shared" si="8"/>
        <v/>
      </c>
    </row>
    <row r="519" spans="6:6" x14ac:dyDescent="0.25">
      <c r="F519" t="str">
        <f t="shared" si="8"/>
        <v/>
      </c>
    </row>
    <row r="520" spans="6:6" x14ac:dyDescent="0.25">
      <c r="F520" t="str">
        <f t="shared" si="8"/>
        <v/>
      </c>
    </row>
    <row r="521" spans="6:6" x14ac:dyDescent="0.25">
      <c r="F521" t="str">
        <f t="shared" si="8"/>
        <v/>
      </c>
    </row>
    <row r="522" spans="6:6" x14ac:dyDescent="0.25">
      <c r="F522" t="str">
        <f t="shared" si="8"/>
        <v/>
      </c>
    </row>
    <row r="523" spans="6:6" x14ac:dyDescent="0.25">
      <c r="F523" t="str">
        <f t="shared" si="8"/>
        <v/>
      </c>
    </row>
    <row r="524" spans="6:6" x14ac:dyDescent="0.25">
      <c r="F524" t="str">
        <f t="shared" si="8"/>
        <v/>
      </c>
    </row>
    <row r="525" spans="6:6" x14ac:dyDescent="0.25">
      <c r="F525" t="str">
        <f t="shared" si="8"/>
        <v/>
      </c>
    </row>
    <row r="526" spans="6:6" x14ac:dyDescent="0.25">
      <c r="F526" t="str">
        <f t="shared" si="8"/>
        <v/>
      </c>
    </row>
    <row r="527" spans="6:6" x14ac:dyDescent="0.25">
      <c r="F527" t="str">
        <f t="shared" si="8"/>
        <v/>
      </c>
    </row>
    <row r="528" spans="6:6" x14ac:dyDescent="0.25">
      <c r="F528" t="str">
        <f t="shared" si="8"/>
        <v/>
      </c>
    </row>
    <row r="529" spans="6:6" x14ac:dyDescent="0.25">
      <c r="F529" t="str">
        <f t="shared" si="8"/>
        <v/>
      </c>
    </row>
    <row r="530" spans="6:6" x14ac:dyDescent="0.25">
      <c r="F530" t="str">
        <f t="shared" si="8"/>
        <v/>
      </c>
    </row>
    <row r="531" spans="6:6" x14ac:dyDescent="0.25">
      <c r="F531" t="str">
        <f t="shared" si="8"/>
        <v/>
      </c>
    </row>
    <row r="532" spans="6:6" x14ac:dyDescent="0.25">
      <c r="F532" t="str">
        <f t="shared" si="8"/>
        <v/>
      </c>
    </row>
    <row r="533" spans="6:6" x14ac:dyDescent="0.25">
      <c r="F533" t="str">
        <f t="shared" si="8"/>
        <v/>
      </c>
    </row>
    <row r="534" spans="6:6" x14ac:dyDescent="0.25">
      <c r="F534" t="str">
        <f t="shared" si="8"/>
        <v/>
      </c>
    </row>
    <row r="535" spans="6:6" x14ac:dyDescent="0.25">
      <c r="F535" t="str">
        <f t="shared" si="8"/>
        <v/>
      </c>
    </row>
    <row r="536" spans="6:6" x14ac:dyDescent="0.25">
      <c r="F536" t="str">
        <f t="shared" si="8"/>
        <v/>
      </c>
    </row>
    <row r="537" spans="6:6" x14ac:dyDescent="0.25">
      <c r="F537" t="str">
        <f t="shared" si="8"/>
        <v/>
      </c>
    </row>
    <row r="538" spans="6:6" x14ac:dyDescent="0.25">
      <c r="F538" t="str">
        <f t="shared" si="8"/>
        <v/>
      </c>
    </row>
    <row r="539" spans="6:6" x14ac:dyDescent="0.25">
      <c r="F539" t="str">
        <f t="shared" si="8"/>
        <v/>
      </c>
    </row>
    <row r="540" spans="6:6" x14ac:dyDescent="0.25">
      <c r="F540" t="str">
        <f t="shared" si="8"/>
        <v/>
      </c>
    </row>
    <row r="541" spans="6:6" x14ac:dyDescent="0.25">
      <c r="F541" t="str">
        <f t="shared" si="8"/>
        <v/>
      </c>
    </row>
    <row r="542" spans="6:6" x14ac:dyDescent="0.25">
      <c r="F542" t="str">
        <f t="shared" si="8"/>
        <v/>
      </c>
    </row>
    <row r="543" spans="6:6" x14ac:dyDescent="0.25">
      <c r="F543" t="str">
        <f t="shared" si="8"/>
        <v/>
      </c>
    </row>
    <row r="544" spans="6:6" x14ac:dyDescent="0.25">
      <c r="F544" t="str">
        <f t="shared" si="8"/>
        <v/>
      </c>
    </row>
    <row r="545" spans="6:6" x14ac:dyDescent="0.25">
      <c r="F545" t="str">
        <f t="shared" si="8"/>
        <v/>
      </c>
    </row>
    <row r="546" spans="6:6" x14ac:dyDescent="0.25">
      <c r="F546" t="str">
        <f t="shared" si="8"/>
        <v/>
      </c>
    </row>
    <row r="547" spans="6:6" x14ac:dyDescent="0.25">
      <c r="F547" t="str">
        <f t="shared" si="8"/>
        <v/>
      </c>
    </row>
    <row r="548" spans="6:6" x14ac:dyDescent="0.25">
      <c r="F548" t="str">
        <f t="shared" si="8"/>
        <v/>
      </c>
    </row>
    <row r="549" spans="6:6" x14ac:dyDescent="0.25">
      <c r="F549" t="str">
        <f t="shared" si="8"/>
        <v/>
      </c>
    </row>
    <row r="550" spans="6:6" x14ac:dyDescent="0.25">
      <c r="F550" t="str">
        <f t="shared" si="8"/>
        <v/>
      </c>
    </row>
    <row r="551" spans="6:6" x14ac:dyDescent="0.25">
      <c r="F551" t="str">
        <f t="shared" si="8"/>
        <v/>
      </c>
    </row>
    <row r="552" spans="6:6" x14ac:dyDescent="0.25">
      <c r="F552" t="str">
        <f t="shared" si="8"/>
        <v/>
      </c>
    </row>
    <row r="553" spans="6:6" x14ac:dyDescent="0.25">
      <c r="F553" t="str">
        <f t="shared" si="8"/>
        <v/>
      </c>
    </row>
    <row r="554" spans="6:6" x14ac:dyDescent="0.25">
      <c r="F554" t="str">
        <f t="shared" si="8"/>
        <v/>
      </c>
    </row>
    <row r="555" spans="6:6" x14ac:dyDescent="0.25">
      <c r="F555" t="str">
        <f t="shared" si="8"/>
        <v/>
      </c>
    </row>
    <row r="556" spans="6:6" x14ac:dyDescent="0.25">
      <c r="F556" t="str">
        <f t="shared" si="8"/>
        <v/>
      </c>
    </row>
    <row r="557" spans="6:6" x14ac:dyDescent="0.25">
      <c r="F557" t="str">
        <f t="shared" si="8"/>
        <v/>
      </c>
    </row>
    <row r="558" spans="6:6" x14ac:dyDescent="0.25">
      <c r="F558" t="str">
        <f t="shared" si="8"/>
        <v/>
      </c>
    </row>
    <row r="559" spans="6:6" x14ac:dyDescent="0.25">
      <c r="F559" t="str">
        <f t="shared" si="8"/>
        <v/>
      </c>
    </row>
    <row r="560" spans="6:6" x14ac:dyDescent="0.25">
      <c r="F560" t="str">
        <f t="shared" si="8"/>
        <v/>
      </c>
    </row>
    <row r="561" spans="6:6" x14ac:dyDescent="0.25">
      <c r="F561" t="str">
        <f t="shared" si="8"/>
        <v/>
      </c>
    </row>
    <row r="562" spans="6:6" x14ac:dyDescent="0.25">
      <c r="F562" t="str">
        <f t="shared" si="8"/>
        <v/>
      </c>
    </row>
    <row r="563" spans="6:6" x14ac:dyDescent="0.25">
      <c r="F563" t="str">
        <f t="shared" si="8"/>
        <v/>
      </c>
    </row>
    <row r="564" spans="6:6" x14ac:dyDescent="0.25">
      <c r="F564" t="str">
        <f t="shared" si="8"/>
        <v/>
      </c>
    </row>
    <row r="565" spans="6:6" x14ac:dyDescent="0.25">
      <c r="F565" t="str">
        <f t="shared" si="8"/>
        <v/>
      </c>
    </row>
    <row r="566" spans="6:6" x14ac:dyDescent="0.25">
      <c r="F566" t="str">
        <f t="shared" si="8"/>
        <v/>
      </c>
    </row>
    <row r="567" spans="6:6" x14ac:dyDescent="0.25">
      <c r="F567" t="str">
        <f t="shared" si="8"/>
        <v/>
      </c>
    </row>
    <row r="568" spans="6:6" x14ac:dyDescent="0.25">
      <c r="F568" t="str">
        <f t="shared" si="8"/>
        <v/>
      </c>
    </row>
    <row r="569" spans="6:6" x14ac:dyDescent="0.25">
      <c r="F569" t="str">
        <f t="shared" si="8"/>
        <v/>
      </c>
    </row>
    <row r="570" spans="6:6" x14ac:dyDescent="0.25">
      <c r="F570" t="str">
        <f t="shared" si="8"/>
        <v/>
      </c>
    </row>
    <row r="571" spans="6:6" x14ac:dyDescent="0.25">
      <c r="F571" t="str">
        <f t="shared" si="8"/>
        <v/>
      </c>
    </row>
    <row r="572" spans="6:6" x14ac:dyDescent="0.25">
      <c r="F572" t="str">
        <f t="shared" si="8"/>
        <v/>
      </c>
    </row>
    <row r="573" spans="6:6" x14ac:dyDescent="0.25">
      <c r="F573" t="str">
        <f t="shared" si="8"/>
        <v/>
      </c>
    </row>
    <row r="574" spans="6:6" x14ac:dyDescent="0.25">
      <c r="F574" t="str">
        <f t="shared" si="8"/>
        <v/>
      </c>
    </row>
    <row r="575" spans="6:6" x14ac:dyDescent="0.25">
      <c r="F575" t="str">
        <f t="shared" si="8"/>
        <v/>
      </c>
    </row>
    <row r="576" spans="6:6" x14ac:dyDescent="0.25">
      <c r="F576" t="str">
        <f t="shared" si="8"/>
        <v/>
      </c>
    </row>
    <row r="577" spans="6:6" x14ac:dyDescent="0.25">
      <c r="F577" t="str">
        <f t="shared" si="8"/>
        <v/>
      </c>
    </row>
    <row r="578" spans="6:6" x14ac:dyDescent="0.25">
      <c r="F578" t="str">
        <f t="shared" ref="F578:F641" si="9">IF(AND(D578&lt;&gt;"",E578&lt;&gt;""),E578-D578+1,"")</f>
        <v/>
      </c>
    </row>
    <row r="579" spans="6:6" x14ac:dyDescent="0.25">
      <c r="F579" t="str">
        <f t="shared" si="9"/>
        <v/>
      </c>
    </row>
    <row r="580" spans="6:6" x14ac:dyDescent="0.25">
      <c r="F580" t="str">
        <f t="shared" si="9"/>
        <v/>
      </c>
    </row>
    <row r="581" spans="6:6" x14ac:dyDescent="0.25">
      <c r="F581" t="str">
        <f t="shared" si="9"/>
        <v/>
      </c>
    </row>
    <row r="582" spans="6:6" x14ac:dyDescent="0.25">
      <c r="F582" t="str">
        <f t="shared" si="9"/>
        <v/>
      </c>
    </row>
    <row r="583" spans="6:6" x14ac:dyDescent="0.25">
      <c r="F583" t="str">
        <f t="shared" si="9"/>
        <v/>
      </c>
    </row>
    <row r="584" spans="6:6" x14ac:dyDescent="0.25">
      <c r="F584" t="str">
        <f t="shared" si="9"/>
        <v/>
      </c>
    </row>
    <row r="585" spans="6:6" x14ac:dyDescent="0.25">
      <c r="F585" t="str">
        <f t="shared" si="9"/>
        <v/>
      </c>
    </row>
    <row r="586" spans="6:6" x14ac:dyDescent="0.25">
      <c r="F586" t="str">
        <f t="shared" si="9"/>
        <v/>
      </c>
    </row>
    <row r="587" spans="6:6" x14ac:dyDescent="0.25">
      <c r="F587" t="str">
        <f t="shared" si="9"/>
        <v/>
      </c>
    </row>
    <row r="588" spans="6:6" x14ac:dyDescent="0.25">
      <c r="F588" t="str">
        <f t="shared" si="9"/>
        <v/>
      </c>
    </row>
    <row r="589" spans="6:6" x14ac:dyDescent="0.25">
      <c r="F589" t="str">
        <f t="shared" si="9"/>
        <v/>
      </c>
    </row>
    <row r="590" spans="6:6" x14ac:dyDescent="0.25">
      <c r="F590" t="str">
        <f t="shared" si="9"/>
        <v/>
      </c>
    </row>
    <row r="591" spans="6:6" x14ac:dyDescent="0.25">
      <c r="F591" t="str">
        <f t="shared" si="9"/>
        <v/>
      </c>
    </row>
    <row r="592" spans="6:6" x14ac:dyDescent="0.25">
      <c r="F592" t="str">
        <f t="shared" si="9"/>
        <v/>
      </c>
    </row>
    <row r="593" spans="6:6" x14ac:dyDescent="0.25">
      <c r="F593" t="str">
        <f t="shared" si="9"/>
        <v/>
      </c>
    </row>
    <row r="594" spans="6:6" x14ac:dyDescent="0.25">
      <c r="F594" t="str">
        <f t="shared" si="9"/>
        <v/>
      </c>
    </row>
    <row r="595" spans="6:6" x14ac:dyDescent="0.25">
      <c r="F595" t="str">
        <f t="shared" si="9"/>
        <v/>
      </c>
    </row>
    <row r="596" spans="6:6" x14ac:dyDescent="0.25">
      <c r="F596" t="str">
        <f t="shared" si="9"/>
        <v/>
      </c>
    </row>
    <row r="597" spans="6:6" x14ac:dyDescent="0.25">
      <c r="F597" t="str">
        <f t="shared" si="9"/>
        <v/>
      </c>
    </row>
    <row r="598" spans="6:6" x14ac:dyDescent="0.25">
      <c r="F598" t="str">
        <f t="shared" si="9"/>
        <v/>
      </c>
    </row>
    <row r="599" spans="6:6" x14ac:dyDescent="0.25">
      <c r="F599" t="str">
        <f t="shared" si="9"/>
        <v/>
      </c>
    </row>
    <row r="600" spans="6:6" x14ac:dyDescent="0.25">
      <c r="F600" t="str">
        <f t="shared" si="9"/>
        <v/>
      </c>
    </row>
    <row r="601" spans="6:6" x14ac:dyDescent="0.25">
      <c r="F601" t="str">
        <f t="shared" si="9"/>
        <v/>
      </c>
    </row>
    <row r="602" spans="6:6" x14ac:dyDescent="0.25">
      <c r="F602" t="str">
        <f t="shared" si="9"/>
        <v/>
      </c>
    </row>
    <row r="603" spans="6:6" x14ac:dyDescent="0.25">
      <c r="F603" t="str">
        <f t="shared" si="9"/>
        <v/>
      </c>
    </row>
    <row r="604" spans="6:6" x14ac:dyDescent="0.25">
      <c r="F604" t="str">
        <f t="shared" si="9"/>
        <v/>
      </c>
    </row>
    <row r="605" spans="6:6" x14ac:dyDescent="0.25">
      <c r="F605" t="str">
        <f t="shared" si="9"/>
        <v/>
      </c>
    </row>
    <row r="606" spans="6:6" x14ac:dyDescent="0.25">
      <c r="F606" t="str">
        <f t="shared" si="9"/>
        <v/>
      </c>
    </row>
    <row r="607" spans="6:6" x14ac:dyDescent="0.25">
      <c r="F607" t="str">
        <f t="shared" si="9"/>
        <v/>
      </c>
    </row>
    <row r="608" spans="6:6" x14ac:dyDescent="0.25">
      <c r="F608" t="str">
        <f t="shared" si="9"/>
        <v/>
      </c>
    </row>
    <row r="609" spans="6:6" x14ac:dyDescent="0.25">
      <c r="F609" t="str">
        <f t="shared" si="9"/>
        <v/>
      </c>
    </row>
    <row r="610" spans="6:6" x14ac:dyDescent="0.25">
      <c r="F610" t="str">
        <f t="shared" si="9"/>
        <v/>
      </c>
    </row>
    <row r="611" spans="6:6" x14ac:dyDescent="0.25">
      <c r="F611" t="str">
        <f t="shared" si="9"/>
        <v/>
      </c>
    </row>
    <row r="612" spans="6:6" x14ac:dyDescent="0.25">
      <c r="F612" t="str">
        <f t="shared" si="9"/>
        <v/>
      </c>
    </row>
    <row r="613" spans="6:6" x14ac:dyDescent="0.25">
      <c r="F613" t="str">
        <f t="shared" si="9"/>
        <v/>
      </c>
    </row>
    <row r="614" spans="6:6" x14ac:dyDescent="0.25">
      <c r="F614" t="str">
        <f t="shared" si="9"/>
        <v/>
      </c>
    </row>
    <row r="615" spans="6:6" x14ac:dyDescent="0.25">
      <c r="F615" t="str">
        <f t="shared" si="9"/>
        <v/>
      </c>
    </row>
    <row r="616" spans="6:6" x14ac:dyDescent="0.25">
      <c r="F616" t="str">
        <f t="shared" si="9"/>
        <v/>
      </c>
    </row>
    <row r="617" spans="6:6" x14ac:dyDescent="0.25">
      <c r="F617" t="str">
        <f t="shared" si="9"/>
        <v/>
      </c>
    </row>
    <row r="618" spans="6:6" x14ac:dyDescent="0.25">
      <c r="F618" t="str">
        <f t="shared" si="9"/>
        <v/>
      </c>
    </row>
    <row r="619" spans="6:6" x14ac:dyDescent="0.25">
      <c r="F619" t="str">
        <f t="shared" si="9"/>
        <v/>
      </c>
    </row>
    <row r="620" spans="6:6" x14ac:dyDescent="0.25">
      <c r="F620" t="str">
        <f t="shared" si="9"/>
        <v/>
      </c>
    </row>
    <row r="621" spans="6:6" x14ac:dyDescent="0.25">
      <c r="F621" t="str">
        <f t="shared" si="9"/>
        <v/>
      </c>
    </row>
    <row r="622" spans="6:6" x14ac:dyDescent="0.25">
      <c r="F622" t="str">
        <f t="shared" si="9"/>
        <v/>
      </c>
    </row>
    <row r="623" spans="6:6" x14ac:dyDescent="0.25">
      <c r="F623" t="str">
        <f t="shared" si="9"/>
        <v/>
      </c>
    </row>
    <row r="624" spans="6:6" x14ac:dyDescent="0.25">
      <c r="F624" t="str">
        <f t="shared" si="9"/>
        <v/>
      </c>
    </row>
    <row r="625" spans="6:6" x14ac:dyDescent="0.25">
      <c r="F625" t="str">
        <f t="shared" si="9"/>
        <v/>
      </c>
    </row>
    <row r="626" spans="6:6" x14ac:dyDescent="0.25">
      <c r="F626" t="str">
        <f t="shared" si="9"/>
        <v/>
      </c>
    </row>
    <row r="627" spans="6:6" x14ac:dyDescent="0.25">
      <c r="F627" t="str">
        <f t="shared" si="9"/>
        <v/>
      </c>
    </row>
    <row r="628" spans="6:6" x14ac:dyDescent="0.25">
      <c r="F628" t="str">
        <f t="shared" si="9"/>
        <v/>
      </c>
    </row>
    <row r="629" spans="6:6" x14ac:dyDescent="0.25">
      <c r="F629" t="str">
        <f t="shared" si="9"/>
        <v/>
      </c>
    </row>
    <row r="630" spans="6:6" x14ac:dyDescent="0.25">
      <c r="F630" t="str">
        <f t="shared" si="9"/>
        <v/>
      </c>
    </row>
    <row r="631" spans="6:6" x14ac:dyDescent="0.25">
      <c r="F631" t="str">
        <f t="shared" si="9"/>
        <v/>
      </c>
    </row>
    <row r="632" spans="6:6" x14ac:dyDescent="0.25">
      <c r="F632" t="str">
        <f t="shared" si="9"/>
        <v/>
      </c>
    </row>
    <row r="633" spans="6:6" x14ac:dyDescent="0.25">
      <c r="F633" t="str">
        <f t="shared" si="9"/>
        <v/>
      </c>
    </row>
    <row r="634" spans="6:6" x14ac:dyDescent="0.25">
      <c r="F634" t="str">
        <f t="shared" si="9"/>
        <v/>
      </c>
    </row>
    <row r="635" spans="6:6" x14ac:dyDescent="0.25">
      <c r="F635" t="str">
        <f t="shared" si="9"/>
        <v/>
      </c>
    </row>
    <row r="636" spans="6:6" x14ac:dyDescent="0.25">
      <c r="F636" t="str">
        <f t="shared" si="9"/>
        <v/>
      </c>
    </row>
    <row r="637" spans="6:6" x14ac:dyDescent="0.25">
      <c r="F637" t="str">
        <f t="shared" si="9"/>
        <v/>
      </c>
    </row>
    <row r="638" spans="6:6" x14ac:dyDescent="0.25">
      <c r="F638" t="str">
        <f t="shared" si="9"/>
        <v/>
      </c>
    </row>
    <row r="639" spans="6:6" x14ac:dyDescent="0.25">
      <c r="F639" t="str">
        <f t="shared" si="9"/>
        <v/>
      </c>
    </row>
    <row r="640" spans="6:6" x14ac:dyDescent="0.25">
      <c r="F640" t="str">
        <f t="shared" si="9"/>
        <v/>
      </c>
    </row>
    <row r="641" spans="6:6" x14ac:dyDescent="0.25">
      <c r="F641" t="str">
        <f t="shared" si="9"/>
        <v/>
      </c>
    </row>
    <row r="642" spans="6:6" x14ac:dyDescent="0.25">
      <c r="F642" t="str">
        <f t="shared" ref="F642:F705" si="10">IF(AND(D642&lt;&gt;"",E642&lt;&gt;""),E642-D642+1,"")</f>
        <v/>
      </c>
    </row>
    <row r="643" spans="6:6" x14ac:dyDescent="0.25">
      <c r="F643" t="str">
        <f t="shared" si="10"/>
        <v/>
      </c>
    </row>
    <row r="644" spans="6:6" x14ac:dyDescent="0.25">
      <c r="F644" t="str">
        <f t="shared" si="10"/>
        <v/>
      </c>
    </row>
    <row r="645" spans="6:6" x14ac:dyDescent="0.25">
      <c r="F645" t="str">
        <f t="shared" si="10"/>
        <v/>
      </c>
    </row>
    <row r="646" spans="6:6" x14ac:dyDescent="0.25">
      <c r="F646" t="str">
        <f t="shared" si="10"/>
        <v/>
      </c>
    </row>
    <row r="647" spans="6:6" x14ac:dyDescent="0.25">
      <c r="F647" t="str">
        <f t="shared" si="10"/>
        <v/>
      </c>
    </row>
    <row r="648" spans="6:6" x14ac:dyDescent="0.25">
      <c r="F648" t="str">
        <f t="shared" si="10"/>
        <v/>
      </c>
    </row>
    <row r="649" spans="6:6" x14ac:dyDescent="0.25">
      <c r="F649" t="str">
        <f t="shared" si="10"/>
        <v/>
      </c>
    </row>
    <row r="650" spans="6:6" x14ac:dyDescent="0.25">
      <c r="F650" t="str">
        <f t="shared" si="10"/>
        <v/>
      </c>
    </row>
    <row r="651" spans="6:6" x14ac:dyDescent="0.25">
      <c r="F651" t="str">
        <f t="shared" si="10"/>
        <v/>
      </c>
    </row>
    <row r="652" spans="6:6" x14ac:dyDescent="0.25">
      <c r="F652" t="str">
        <f t="shared" si="10"/>
        <v/>
      </c>
    </row>
    <row r="653" spans="6:6" x14ac:dyDescent="0.25">
      <c r="F653" t="str">
        <f t="shared" si="10"/>
        <v/>
      </c>
    </row>
    <row r="654" spans="6:6" x14ac:dyDescent="0.25">
      <c r="F654" t="str">
        <f t="shared" si="10"/>
        <v/>
      </c>
    </row>
    <row r="655" spans="6:6" x14ac:dyDescent="0.25">
      <c r="F655" t="str">
        <f t="shared" si="10"/>
        <v/>
      </c>
    </row>
    <row r="656" spans="6:6" x14ac:dyDescent="0.25">
      <c r="F656" t="str">
        <f t="shared" si="10"/>
        <v/>
      </c>
    </row>
    <row r="657" spans="6:6" x14ac:dyDescent="0.25">
      <c r="F657" t="str">
        <f t="shared" si="10"/>
        <v/>
      </c>
    </row>
    <row r="658" spans="6:6" x14ac:dyDescent="0.25">
      <c r="F658" t="str">
        <f t="shared" si="10"/>
        <v/>
      </c>
    </row>
    <row r="659" spans="6:6" x14ac:dyDescent="0.25">
      <c r="F659" t="str">
        <f t="shared" si="10"/>
        <v/>
      </c>
    </row>
    <row r="660" spans="6:6" x14ac:dyDescent="0.25">
      <c r="F660" t="str">
        <f t="shared" si="10"/>
        <v/>
      </c>
    </row>
    <row r="661" spans="6:6" x14ac:dyDescent="0.25">
      <c r="F661" t="str">
        <f t="shared" si="10"/>
        <v/>
      </c>
    </row>
    <row r="662" spans="6:6" x14ac:dyDescent="0.25">
      <c r="F662" t="str">
        <f t="shared" si="10"/>
        <v/>
      </c>
    </row>
    <row r="663" spans="6:6" x14ac:dyDescent="0.25">
      <c r="F663" t="str">
        <f t="shared" si="10"/>
        <v/>
      </c>
    </row>
    <row r="664" spans="6:6" x14ac:dyDescent="0.25">
      <c r="F664" t="str">
        <f t="shared" si="10"/>
        <v/>
      </c>
    </row>
    <row r="665" spans="6:6" x14ac:dyDescent="0.25">
      <c r="F665" t="str">
        <f t="shared" si="10"/>
        <v/>
      </c>
    </row>
    <row r="666" spans="6:6" x14ac:dyDescent="0.25">
      <c r="F666" t="str">
        <f t="shared" si="10"/>
        <v/>
      </c>
    </row>
    <row r="667" spans="6:6" x14ac:dyDescent="0.25">
      <c r="F667" t="str">
        <f t="shared" si="10"/>
        <v/>
      </c>
    </row>
    <row r="668" spans="6:6" x14ac:dyDescent="0.25">
      <c r="F668" t="str">
        <f t="shared" si="10"/>
        <v/>
      </c>
    </row>
    <row r="669" spans="6:6" x14ac:dyDescent="0.25">
      <c r="F669" t="str">
        <f t="shared" si="10"/>
        <v/>
      </c>
    </row>
    <row r="670" spans="6:6" x14ac:dyDescent="0.25">
      <c r="F670" t="str">
        <f t="shared" si="10"/>
        <v/>
      </c>
    </row>
    <row r="671" spans="6:6" x14ac:dyDescent="0.25">
      <c r="F671" t="str">
        <f t="shared" si="10"/>
        <v/>
      </c>
    </row>
    <row r="672" spans="6:6" x14ac:dyDescent="0.25">
      <c r="F672" t="str">
        <f t="shared" si="10"/>
        <v/>
      </c>
    </row>
    <row r="673" spans="6:6" x14ac:dyDescent="0.25">
      <c r="F673" t="str">
        <f t="shared" si="10"/>
        <v/>
      </c>
    </row>
    <row r="674" spans="6:6" x14ac:dyDescent="0.25">
      <c r="F674" t="str">
        <f t="shared" si="10"/>
        <v/>
      </c>
    </row>
    <row r="675" spans="6:6" x14ac:dyDescent="0.25">
      <c r="F675" t="str">
        <f t="shared" si="10"/>
        <v/>
      </c>
    </row>
    <row r="676" spans="6:6" x14ac:dyDescent="0.25">
      <c r="F676" t="str">
        <f t="shared" si="10"/>
        <v/>
      </c>
    </row>
    <row r="677" spans="6:6" x14ac:dyDescent="0.25">
      <c r="F677" t="str">
        <f t="shared" si="10"/>
        <v/>
      </c>
    </row>
    <row r="678" spans="6:6" x14ac:dyDescent="0.25">
      <c r="F678" t="str">
        <f t="shared" si="10"/>
        <v/>
      </c>
    </row>
    <row r="679" spans="6:6" x14ac:dyDescent="0.25">
      <c r="F679" t="str">
        <f t="shared" si="10"/>
        <v/>
      </c>
    </row>
    <row r="680" spans="6:6" x14ac:dyDescent="0.25">
      <c r="F680" t="str">
        <f t="shared" si="10"/>
        <v/>
      </c>
    </row>
    <row r="681" spans="6:6" x14ac:dyDescent="0.25">
      <c r="F681" t="str">
        <f t="shared" si="10"/>
        <v/>
      </c>
    </row>
    <row r="682" spans="6:6" x14ac:dyDescent="0.25">
      <c r="F682" t="str">
        <f t="shared" si="10"/>
        <v/>
      </c>
    </row>
    <row r="683" spans="6:6" x14ac:dyDescent="0.25">
      <c r="F683" t="str">
        <f t="shared" si="10"/>
        <v/>
      </c>
    </row>
    <row r="684" spans="6:6" x14ac:dyDescent="0.25">
      <c r="F684" t="str">
        <f t="shared" si="10"/>
        <v/>
      </c>
    </row>
    <row r="685" spans="6:6" x14ac:dyDescent="0.25">
      <c r="F685" t="str">
        <f t="shared" si="10"/>
        <v/>
      </c>
    </row>
    <row r="686" spans="6:6" x14ac:dyDescent="0.25">
      <c r="F686" t="str">
        <f t="shared" si="10"/>
        <v/>
      </c>
    </row>
    <row r="687" spans="6:6" x14ac:dyDescent="0.25">
      <c r="F687" t="str">
        <f t="shared" si="10"/>
        <v/>
      </c>
    </row>
    <row r="688" spans="6:6" x14ac:dyDescent="0.25">
      <c r="F688" t="str">
        <f t="shared" si="10"/>
        <v/>
      </c>
    </row>
    <row r="689" spans="6:6" x14ac:dyDescent="0.25">
      <c r="F689" t="str">
        <f t="shared" si="10"/>
        <v/>
      </c>
    </row>
    <row r="690" spans="6:6" x14ac:dyDescent="0.25">
      <c r="F690" t="str">
        <f t="shared" si="10"/>
        <v/>
      </c>
    </row>
    <row r="691" spans="6:6" x14ac:dyDescent="0.25">
      <c r="F691" t="str">
        <f t="shared" si="10"/>
        <v/>
      </c>
    </row>
    <row r="692" spans="6:6" x14ac:dyDescent="0.25">
      <c r="F692" t="str">
        <f t="shared" si="10"/>
        <v/>
      </c>
    </row>
    <row r="693" spans="6:6" x14ac:dyDescent="0.25">
      <c r="F693" t="str">
        <f t="shared" si="10"/>
        <v/>
      </c>
    </row>
    <row r="694" spans="6:6" x14ac:dyDescent="0.25">
      <c r="F694" t="str">
        <f t="shared" si="10"/>
        <v/>
      </c>
    </row>
    <row r="695" spans="6:6" x14ac:dyDescent="0.25">
      <c r="F695" t="str">
        <f t="shared" si="10"/>
        <v/>
      </c>
    </row>
    <row r="696" spans="6:6" x14ac:dyDescent="0.25">
      <c r="F696" t="str">
        <f t="shared" si="10"/>
        <v/>
      </c>
    </row>
    <row r="697" spans="6:6" x14ac:dyDescent="0.25">
      <c r="F697" t="str">
        <f t="shared" si="10"/>
        <v/>
      </c>
    </row>
    <row r="698" spans="6:6" x14ac:dyDescent="0.25">
      <c r="F698" t="str">
        <f t="shared" si="10"/>
        <v/>
      </c>
    </row>
    <row r="699" spans="6:6" x14ac:dyDescent="0.25">
      <c r="F699" t="str">
        <f t="shared" si="10"/>
        <v/>
      </c>
    </row>
    <row r="700" spans="6:6" x14ac:dyDescent="0.25">
      <c r="F700" t="str">
        <f t="shared" si="10"/>
        <v/>
      </c>
    </row>
    <row r="701" spans="6:6" x14ac:dyDescent="0.25">
      <c r="F701" t="str">
        <f t="shared" si="10"/>
        <v/>
      </c>
    </row>
    <row r="702" spans="6:6" x14ac:dyDescent="0.25">
      <c r="F702" t="str">
        <f t="shared" si="10"/>
        <v/>
      </c>
    </row>
    <row r="703" spans="6:6" x14ac:dyDescent="0.25">
      <c r="F703" t="str">
        <f t="shared" si="10"/>
        <v/>
      </c>
    </row>
    <row r="704" spans="6:6" x14ac:dyDescent="0.25">
      <c r="F704" t="str">
        <f t="shared" si="10"/>
        <v/>
      </c>
    </row>
    <row r="705" spans="6:6" x14ac:dyDescent="0.25">
      <c r="F705" t="str">
        <f t="shared" si="10"/>
        <v/>
      </c>
    </row>
    <row r="706" spans="6:6" x14ac:dyDescent="0.25">
      <c r="F706" t="str">
        <f t="shared" ref="F706:F769" si="11">IF(AND(D706&lt;&gt;"",E706&lt;&gt;""),E706-D706+1,"")</f>
        <v/>
      </c>
    </row>
    <row r="707" spans="6:6" x14ac:dyDescent="0.25">
      <c r="F707" t="str">
        <f t="shared" si="11"/>
        <v/>
      </c>
    </row>
    <row r="708" spans="6:6" x14ac:dyDescent="0.25">
      <c r="F708" t="str">
        <f t="shared" si="11"/>
        <v/>
      </c>
    </row>
    <row r="709" spans="6:6" x14ac:dyDescent="0.25">
      <c r="F709" t="str">
        <f t="shared" si="11"/>
        <v/>
      </c>
    </row>
    <row r="710" spans="6:6" x14ac:dyDescent="0.25">
      <c r="F710" t="str">
        <f t="shared" si="11"/>
        <v/>
      </c>
    </row>
    <row r="711" spans="6:6" x14ac:dyDescent="0.25">
      <c r="F711" t="str">
        <f t="shared" si="11"/>
        <v/>
      </c>
    </row>
    <row r="712" spans="6:6" x14ac:dyDescent="0.25">
      <c r="F712" t="str">
        <f t="shared" si="11"/>
        <v/>
      </c>
    </row>
    <row r="713" spans="6:6" x14ac:dyDescent="0.25">
      <c r="F713" t="str">
        <f t="shared" si="11"/>
        <v/>
      </c>
    </row>
    <row r="714" spans="6:6" x14ac:dyDescent="0.25">
      <c r="F714" t="str">
        <f t="shared" si="11"/>
        <v/>
      </c>
    </row>
    <row r="715" spans="6:6" x14ac:dyDescent="0.25">
      <c r="F715" t="str">
        <f t="shared" si="11"/>
        <v/>
      </c>
    </row>
    <row r="716" spans="6:6" x14ac:dyDescent="0.25">
      <c r="F716" t="str">
        <f t="shared" si="11"/>
        <v/>
      </c>
    </row>
    <row r="717" spans="6:6" x14ac:dyDescent="0.25">
      <c r="F717" t="str">
        <f t="shared" si="11"/>
        <v/>
      </c>
    </row>
    <row r="718" spans="6:6" x14ac:dyDescent="0.25">
      <c r="F718" t="str">
        <f t="shared" si="11"/>
        <v/>
      </c>
    </row>
    <row r="719" spans="6:6" x14ac:dyDescent="0.25">
      <c r="F719" t="str">
        <f t="shared" si="11"/>
        <v/>
      </c>
    </row>
    <row r="720" spans="6:6" x14ac:dyDescent="0.25">
      <c r="F720" t="str">
        <f t="shared" si="11"/>
        <v/>
      </c>
    </row>
    <row r="721" spans="6:6" x14ac:dyDescent="0.25">
      <c r="F721" t="str">
        <f t="shared" si="11"/>
        <v/>
      </c>
    </row>
    <row r="722" spans="6:6" x14ac:dyDescent="0.25">
      <c r="F722" t="str">
        <f t="shared" si="11"/>
        <v/>
      </c>
    </row>
    <row r="723" spans="6:6" x14ac:dyDescent="0.25">
      <c r="F723" t="str">
        <f t="shared" si="11"/>
        <v/>
      </c>
    </row>
    <row r="724" spans="6:6" x14ac:dyDescent="0.25">
      <c r="F724" t="str">
        <f t="shared" si="11"/>
        <v/>
      </c>
    </row>
    <row r="725" spans="6:6" x14ac:dyDescent="0.25">
      <c r="F725" t="str">
        <f t="shared" si="11"/>
        <v/>
      </c>
    </row>
    <row r="726" spans="6:6" x14ac:dyDescent="0.25">
      <c r="F726" t="str">
        <f t="shared" si="11"/>
        <v/>
      </c>
    </row>
    <row r="727" spans="6:6" x14ac:dyDescent="0.25">
      <c r="F727" t="str">
        <f t="shared" si="11"/>
        <v/>
      </c>
    </row>
    <row r="728" spans="6:6" x14ac:dyDescent="0.25">
      <c r="F728" t="str">
        <f t="shared" si="11"/>
        <v/>
      </c>
    </row>
    <row r="729" spans="6:6" x14ac:dyDescent="0.25">
      <c r="F729" t="str">
        <f t="shared" si="11"/>
        <v/>
      </c>
    </row>
    <row r="730" spans="6:6" x14ac:dyDescent="0.25">
      <c r="F730" t="str">
        <f t="shared" si="11"/>
        <v/>
      </c>
    </row>
    <row r="731" spans="6:6" x14ac:dyDescent="0.25">
      <c r="F731" t="str">
        <f t="shared" si="11"/>
        <v/>
      </c>
    </row>
    <row r="732" spans="6:6" x14ac:dyDescent="0.25">
      <c r="F732" t="str">
        <f t="shared" si="11"/>
        <v/>
      </c>
    </row>
    <row r="733" spans="6:6" x14ac:dyDescent="0.25">
      <c r="F733" t="str">
        <f t="shared" si="11"/>
        <v/>
      </c>
    </row>
    <row r="734" spans="6:6" x14ac:dyDescent="0.25">
      <c r="F734" t="str">
        <f t="shared" si="11"/>
        <v/>
      </c>
    </row>
    <row r="735" spans="6:6" x14ac:dyDescent="0.25">
      <c r="F735" t="str">
        <f t="shared" si="11"/>
        <v/>
      </c>
    </row>
    <row r="736" spans="6:6" x14ac:dyDescent="0.25">
      <c r="F736" t="str">
        <f t="shared" si="11"/>
        <v/>
      </c>
    </row>
    <row r="737" spans="6:6" x14ac:dyDescent="0.25">
      <c r="F737" t="str">
        <f t="shared" si="11"/>
        <v/>
      </c>
    </row>
    <row r="738" spans="6:6" x14ac:dyDescent="0.25">
      <c r="F738" t="str">
        <f t="shared" si="11"/>
        <v/>
      </c>
    </row>
    <row r="739" spans="6:6" x14ac:dyDescent="0.25">
      <c r="F739" t="str">
        <f t="shared" si="11"/>
        <v/>
      </c>
    </row>
    <row r="740" spans="6:6" x14ac:dyDescent="0.25">
      <c r="F740" t="str">
        <f t="shared" si="11"/>
        <v/>
      </c>
    </row>
    <row r="741" spans="6:6" x14ac:dyDescent="0.25">
      <c r="F741" t="str">
        <f t="shared" si="11"/>
        <v/>
      </c>
    </row>
    <row r="742" spans="6:6" x14ac:dyDescent="0.25">
      <c r="F742" t="str">
        <f t="shared" si="11"/>
        <v/>
      </c>
    </row>
    <row r="743" spans="6:6" x14ac:dyDescent="0.25">
      <c r="F743" t="str">
        <f t="shared" si="11"/>
        <v/>
      </c>
    </row>
    <row r="744" spans="6:6" x14ac:dyDescent="0.25">
      <c r="F744" t="str">
        <f t="shared" si="11"/>
        <v/>
      </c>
    </row>
    <row r="745" spans="6:6" x14ac:dyDescent="0.25">
      <c r="F745" t="str">
        <f t="shared" si="11"/>
        <v/>
      </c>
    </row>
    <row r="746" spans="6:6" x14ac:dyDescent="0.25">
      <c r="F746" t="str">
        <f t="shared" si="11"/>
        <v/>
      </c>
    </row>
    <row r="747" spans="6:6" x14ac:dyDescent="0.25">
      <c r="F747" t="str">
        <f t="shared" si="11"/>
        <v/>
      </c>
    </row>
    <row r="748" spans="6:6" x14ac:dyDescent="0.25">
      <c r="F748" t="str">
        <f t="shared" si="11"/>
        <v/>
      </c>
    </row>
    <row r="749" spans="6:6" x14ac:dyDescent="0.25">
      <c r="F749" t="str">
        <f t="shared" si="11"/>
        <v/>
      </c>
    </row>
    <row r="750" spans="6:6" x14ac:dyDescent="0.25">
      <c r="F750" t="str">
        <f t="shared" si="11"/>
        <v/>
      </c>
    </row>
    <row r="751" spans="6:6" x14ac:dyDescent="0.25">
      <c r="F751" t="str">
        <f t="shared" si="11"/>
        <v/>
      </c>
    </row>
    <row r="752" spans="6:6" x14ac:dyDescent="0.25">
      <c r="F752" t="str">
        <f t="shared" si="11"/>
        <v/>
      </c>
    </row>
    <row r="753" spans="6:6" x14ac:dyDescent="0.25">
      <c r="F753" t="str">
        <f t="shared" si="11"/>
        <v/>
      </c>
    </row>
    <row r="754" spans="6:6" x14ac:dyDescent="0.25">
      <c r="F754" t="str">
        <f t="shared" si="11"/>
        <v/>
      </c>
    </row>
    <row r="755" spans="6:6" x14ac:dyDescent="0.25">
      <c r="F755" t="str">
        <f t="shared" si="11"/>
        <v/>
      </c>
    </row>
    <row r="756" spans="6:6" x14ac:dyDescent="0.25">
      <c r="F756" t="str">
        <f t="shared" si="11"/>
        <v/>
      </c>
    </row>
    <row r="757" spans="6:6" x14ac:dyDescent="0.25">
      <c r="F757" t="str">
        <f t="shared" si="11"/>
        <v/>
      </c>
    </row>
    <row r="758" spans="6:6" x14ac:dyDescent="0.25">
      <c r="F758" t="str">
        <f t="shared" si="11"/>
        <v/>
      </c>
    </row>
    <row r="759" spans="6:6" x14ac:dyDescent="0.25">
      <c r="F759" t="str">
        <f t="shared" si="11"/>
        <v/>
      </c>
    </row>
    <row r="760" spans="6:6" x14ac:dyDescent="0.25">
      <c r="F760" t="str">
        <f t="shared" si="11"/>
        <v/>
      </c>
    </row>
    <row r="761" spans="6:6" x14ac:dyDescent="0.25">
      <c r="F761" t="str">
        <f t="shared" si="11"/>
        <v/>
      </c>
    </row>
    <row r="762" spans="6:6" x14ac:dyDescent="0.25">
      <c r="F762" t="str">
        <f t="shared" si="11"/>
        <v/>
      </c>
    </row>
    <row r="763" spans="6:6" x14ac:dyDescent="0.25">
      <c r="F763" t="str">
        <f t="shared" si="11"/>
        <v/>
      </c>
    </row>
    <row r="764" spans="6:6" x14ac:dyDescent="0.25">
      <c r="F764" t="str">
        <f t="shared" si="11"/>
        <v/>
      </c>
    </row>
    <row r="765" spans="6:6" x14ac:dyDescent="0.25">
      <c r="F765" t="str">
        <f t="shared" si="11"/>
        <v/>
      </c>
    </row>
    <row r="766" spans="6:6" x14ac:dyDescent="0.25">
      <c r="F766" t="str">
        <f t="shared" si="11"/>
        <v/>
      </c>
    </row>
    <row r="767" spans="6:6" x14ac:dyDescent="0.25">
      <c r="F767" t="str">
        <f t="shared" si="11"/>
        <v/>
      </c>
    </row>
    <row r="768" spans="6:6" x14ac:dyDescent="0.25">
      <c r="F768" t="str">
        <f t="shared" si="11"/>
        <v/>
      </c>
    </row>
    <row r="769" spans="6:6" x14ac:dyDescent="0.25">
      <c r="F769" t="str">
        <f t="shared" si="11"/>
        <v/>
      </c>
    </row>
    <row r="770" spans="6:6" x14ac:dyDescent="0.25">
      <c r="F770" t="str">
        <f t="shared" ref="F770:F833" si="12">IF(AND(D770&lt;&gt;"",E770&lt;&gt;""),E770-D770+1,"")</f>
        <v/>
      </c>
    </row>
    <row r="771" spans="6:6" x14ac:dyDescent="0.25">
      <c r="F771" t="str">
        <f t="shared" si="12"/>
        <v/>
      </c>
    </row>
    <row r="772" spans="6:6" x14ac:dyDescent="0.25">
      <c r="F772" t="str">
        <f t="shared" si="12"/>
        <v/>
      </c>
    </row>
    <row r="773" spans="6:6" x14ac:dyDescent="0.25">
      <c r="F773" t="str">
        <f t="shared" si="12"/>
        <v/>
      </c>
    </row>
    <row r="774" spans="6:6" x14ac:dyDescent="0.25">
      <c r="F774" t="str">
        <f t="shared" si="12"/>
        <v/>
      </c>
    </row>
    <row r="775" spans="6:6" x14ac:dyDescent="0.25">
      <c r="F775" t="str">
        <f t="shared" si="12"/>
        <v/>
      </c>
    </row>
    <row r="776" spans="6:6" x14ac:dyDescent="0.25">
      <c r="F776" t="str">
        <f t="shared" si="12"/>
        <v/>
      </c>
    </row>
    <row r="777" spans="6:6" x14ac:dyDescent="0.25">
      <c r="F777" t="str">
        <f t="shared" si="12"/>
        <v/>
      </c>
    </row>
    <row r="778" spans="6:6" x14ac:dyDescent="0.25">
      <c r="F778" t="str">
        <f t="shared" si="12"/>
        <v/>
      </c>
    </row>
    <row r="779" spans="6:6" x14ac:dyDescent="0.25">
      <c r="F779" t="str">
        <f t="shared" si="12"/>
        <v/>
      </c>
    </row>
    <row r="780" spans="6:6" x14ac:dyDescent="0.25">
      <c r="F780" t="str">
        <f t="shared" si="12"/>
        <v/>
      </c>
    </row>
    <row r="781" spans="6:6" x14ac:dyDescent="0.25">
      <c r="F781" t="str">
        <f t="shared" si="12"/>
        <v/>
      </c>
    </row>
    <row r="782" spans="6:6" x14ac:dyDescent="0.25">
      <c r="F782" t="str">
        <f t="shared" si="12"/>
        <v/>
      </c>
    </row>
    <row r="783" spans="6:6" x14ac:dyDescent="0.25">
      <c r="F783" t="str">
        <f t="shared" si="12"/>
        <v/>
      </c>
    </row>
    <row r="784" spans="6:6" x14ac:dyDescent="0.25">
      <c r="F784" t="str">
        <f t="shared" si="12"/>
        <v/>
      </c>
    </row>
    <row r="785" spans="6:6" x14ac:dyDescent="0.25">
      <c r="F785" t="str">
        <f t="shared" si="12"/>
        <v/>
      </c>
    </row>
    <row r="786" spans="6:6" x14ac:dyDescent="0.25">
      <c r="F786" t="str">
        <f t="shared" si="12"/>
        <v/>
      </c>
    </row>
    <row r="787" spans="6:6" x14ac:dyDescent="0.25">
      <c r="F787" t="str">
        <f t="shared" si="12"/>
        <v/>
      </c>
    </row>
    <row r="788" spans="6:6" x14ac:dyDescent="0.25">
      <c r="F788" t="str">
        <f t="shared" si="12"/>
        <v/>
      </c>
    </row>
    <row r="789" spans="6:6" x14ac:dyDescent="0.25">
      <c r="F789" t="str">
        <f t="shared" si="12"/>
        <v/>
      </c>
    </row>
    <row r="790" spans="6:6" x14ac:dyDescent="0.25">
      <c r="F790" t="str">
        <f t="shared" si="12"/>
        <v/>
      </c>
    </row>
    <row r="791" spans="6:6" x14ac:dyDescent="0.25">
      <c r="F791" t="str">
        <f t="shared" si="12"/>
        <v/>
      </c>
    </row>
    <row r="792" spans="6:6" x14ac:dyDescent="0.25">
      <c r="F792" t="str">
        <f t="shared" si="12"/>
        <v/>
      </c>
    </row>
    <row r="793" spans="6:6" x14ac:dyDescent="0.25">
      <c r="F793" t="str">
        <f t="shared" si="12"/>
        <v/>
      </c>
    </row>
    <row r="794" spans="6:6" x14ac:dyDescent="0.25">
      <c r="F794" t="str">
        <f t="shared" si="12"/>
        <v/>
      </c>
    </row>
    <row r="795" spans="6:6" x14ac:dyDescent="0.25">
      <c r="F795" t="str">
        <f t="shared" si="12"/>
        <v/>
      </c>
    </row>
    <row r="796" spans="6:6" x14ac:dyDescent="0.25">
      <c r="F796" t="str">
        <f t="shared" si="12"/>
        <v/>
      </c>
    </row>
    <row r="797" spans="6:6" x14ac:dyDescent="0.25">
      <c r="F797" t="str">
        <f t="shared" si="12"/>
        <v/>
      </c>
    </row>
    <row r="798" spans="6:6" x14ac:dyDescent="0.25">
      <c r="F798" t="str">
        <f t="shared" si="12"/>
        <v/>
      </c>
    </row>
    <row r="799" spans="6:6" x14ac:dyDescent="0.25">
      <c r="F799" t="str">
        <f t="shared" si="12"/>
        <v/>
      </c>
    </row>
    <row r="800" spans="6:6" x14ac:dyDescent="0.25">
      <c r="F800" t="str">
        <f t="shared" si="12"/>
        <v/>
      </c>
    </row>
    <row r="801" spans="6:6" x14ac:dyDescent="0.25">
      <c r="F801" t="str">
        <f t="shared" si="12"/>
        <v/>
      </c>
    </row>
    <row r="802" spans="6:6" x14ac:dyDescent="0.25">
      <c r="F802" t="str">
        <f t="shared" si="12"/>
        <v/>
      </c>
    </row>
    <row r="803" spans="6:6" x14ac:dyDescent="0.25">
      <c r="F803" t="str">
        <f t="shared" si="12"/>
        <v/>
      </c>
    </row>
    <row r="804" spans="6:6" x14ac:dyDescent="0.25">
      <c r="F804" t="str">
        <f t="shared" si="12"/>
        <v/>
      </c>
    </row>
    <row r="805" spans="6:6" x14ac:dyDescent="0.25">
      <c r="F805" t="str">
        <f t="shared" si="12"/>
        <v/>
      </c>
    </row>
    <row r="806" spans="6:6" x14ac:dyDescent="0.25">
      <c r="F806" t="str">
        <f t="shared" si="12"/>
        <v/>
      </c>
    </row>
    <row r="807" spans="6:6" x14ac:dyDescent="0.25">
      <c r="F807" t="str">
        <f t="shared" si="12"/>
        <v/>
      </c>
    </row>
    <row r="808" spans="6:6" x14ac:dyDescent="0.25">
      <c r="F808" t="str">
        <f t="shared" si="12"/>
        <v/>
      </c>
    </row>
    <row r="809" spans="6:6" x14ac:dyDescent="0.25">
      <c r="F809" t="str">
        <f t="shared" si="12"/>
        <v/>
      </c>
    </row>
    <row r="810" spans="6:6" x14ac:dyDescent="0.25">
      <c r="F810" t="str">
        <f t="shared" si="12"/>
        <v/>
      </c>
    </row>
    <row r="811" spans="6:6" x14ac:dyDescent="0.25">
      <c r="F811" t="str">
        <f t="shared" si="12"/>
        <v/>
      </c>
    </row>
    <row r="812" spans="6:6" x14ac:dyDescent="0.25">
      <c r="F812" t="str">
        <f t="shared" si="12"/>
        <v/>
      </c>
    </row>
    <row r="813" spans="6:6" x14ac:dyDescent="0.25">
      <c r="F813" t="str">
        <f t="shared" si="12"/>
        <v/>
      </c>
    </row>
    <row r="814" spans="6:6" x14ac:dyDescent="0.25">
      <c r="F814" t="str">
        <f t="shared" si="12"/>
        <v/>
      </c>
    </row>
    <row r="815" spans="6:6" x14ac:dyDescent="0.25">
      <c r="F815" t="str">
        <f t="shared" si="12"/>
        <v/>
      </c>
    </row>
    <row r="816" spans="6:6" x14ac:dyDescent="0.25">
      <c r="F816" t="str">
        <f t="shared" si="12"/>
        <v/>
      </c>
    </row>
    <row r="817" spans="6:6" x14ac:dyDescent="0.25">
      <c r="F817" t="str">
        <f t="shared" si="12"/>
        <v/>
      </c>
    </row>
    <row r="818" spans="6:6" x14ac:dyDescent="0.25">
      <c r="F818" t="str">
        <f t="shared" si="12"/>
        <v/>
      </c>
    </row>
    <row r="819" spans="6:6" x14ac:dyDescent="0.25">
      <c r="F819" t="str">
        <f t="shared" si="12"/>
        <v/>
      </c>
    </row>
    <row r="820" spans="6:6" x14ac:dyDescent="0.25">
      <c r="F820" t="str">
        <f t="shared" si="12"/>
        <v/>
      </c>
    </row>
    <row r="821" spans="6:6" x14ac:dyDescent="0.25">
      <c r="F821" t="str">
        <f t="shared" si="12"/>
        <v/>
      </c>
    </row>
    <row r="822" spans="6:6" x14ac:dyDescent="0.25">
      <c r="F822" t="str">
        <f t="shared" si="12"/>
        <v/>
      </c>
    </row>
    <row r="823" spans="6:6" x14ac:dyDescent="0.25">
      <c r="F823" t="str">
        <f t="shared" si="12"/>
        <v/>
      </c>
    </row>
    <row r="824" spans="6:6" x14ac:dyDescent="0.25">
      <c r="F824" t="str">
        <f t="shared" si="12"/>
        <v/>
      </c>
    </row>
    <row r="825" spans="6:6" x14ac:dyDescent="0.25">
      <c r="F825" t="str">
        <f t="shared" si="12"/>
        <v/>
      </c>
    </row>
    <row r="826" spans="6:6" x14ac:dyDescent="0.25">
      <c r="F826" t="str">
        <f t="shared" si="12"/>
        <v/>
      </c>
    </row>
    <row r="827" spans="6:6" x14ac:dyDescent="0.25">
      <c r="F827" t="str">
        <f t="shared" si="12"/>
        <v/>
      </c>
    </row>
    <row r="828" spans="6:6" x14ac:dyDescent="0.25">
      <c r="F828" t="str">
        <f t="shared" si="12"/>
        <v/>
      </c>
    </row>
    <row r="829" spans="6:6" x14ac:dyDescent="0.25">
      <c r="F829" t="str">
        <f t="shared" si="12"/>
        <v/>
      </c>
    </row>
    <row r="830" spans="6:6" x14ac:dyDescent="0.25">
      <c r="F830" t="str">
        <f t="shared" si="12"/>
        <v/>
      </c>
    </row>
    <row r="831" spans="6:6" x14ac:dyDescent="0.25">
      <c r="F831" t="str">
        <f t="shared" si="12"/>
        <v/>
      </c>
    </row>
    <row r="832" spans="6:6" x14ac:dyDescent="0.25">
      <c r="F832" t="str">
        <f t="shared" si="12"/>
        <v/>
      </c>
    </row>
    <row r="833" spans="6:6" x14ac:dyDescent="0.25">
      <c r="F833" t="str">
        <f t="shared" si="12"/>
        <v/>
      </c>
    </row>
    <row r="834" spans="6:6" x14ac:dyDescent="0.25">
      <c r="F834" t="str">
        <f t="shared" ref="F834:F897" si="13">IF(AND(D834&lt;&gt;"",E834&lt;&gt;""),E834-D834+1,"")</f>
        <v/>
      </c>
    </row>
    <row r="835" spans="6:6" x14ac:dyDescent="0.25">
      <c r="F835" t="str">
        <f t="shared" si="13"/>
        <v/>
      </c>
    </row>
    <row r="836" spans="6:6" x14ac:dyDescent="0.25">
      <c r="F836" t="str">
        <f t="shared" si="13"/>
        <v/>
      </c>
    </row>
    <row r="837" spans="6:6" x14ac:dyDescent="0.25">
      <c r="F837" t="str">
        <f t="shared" si="13"/>
        <v/>
      </c>
    </row>
    <row r="838" spans="6:6" x14ac:dyDescent="0.25">
      <c r="F838" t="str">
        <f t="shared" si="13"/>
        <v/>
      </c>
    </row>
    <row r="839" spans="6:6" x14ac:dyDescent="0.25">
      <c r="F839" t="str">
        <f t="shared" si="13"/>
        <v/>
      </c>
    </row>
    <row r="840" spans="6:6" x14ac:dyDescent="0.25">
      <c r="F840" t="str">
        <f t="shared" si="13"/>
        <v/>
      </c>
    </row>
    <row r="841" spans="6:6" x14ac:dyDescent="0.25">
      <c r="F841" t="str">
        <f t="shared" si="13"/>
        <v/>
      </c>
    </row>
    <row r="842" spans="6:6" x14ac:dyDescent="0.25">
      <c r="F842" t="str">
        <f t="shared" si="13"/>
        <v/>
      </c>
    </row>
    <row r="843" spans="6:6" x14ac:dyDescent="0.25">
      <c r="F843" t="str">
        <f t="shared" si="13"/>
        <v/>
      </c>
    </row>
    <row r="844" spans="6:6" x14ac:dyDescent="0.25">
      <c r="F844" t="str">
        <f t="shared" si="13"/>
        <v/>
      </c>
    </row>
    <row r="845" spans="6:6" x14ac:dyDescent="0.25">
      <c r="F845" t="str">
        <f t="shared" si="13"/>
        <v/>
      </c>
    </row>
    <row r="846" spans="6:6" x14ac:dyDescent="0.25">
      <c r="F846" t="str">
        <f t="shared" si="13"/>
        <v/>
      </c>
    </row>
    <row r="847" spans="6:6" x14ac:dyDescent="0.25">
      <c r="F847" t="str">
        <f t="shared" si="13"/>
        <v/>
      </c>
    </row>
    <row r="848" spans="6:6" x14ac:dyDescent="0.25">
      <c r="F848" t="str">
        <f t="shared" si="13"/>
        <v/>
      </c>
    </row>
    <row r="849" spans="6:6" x14ac:dyDescent="0.25">
      <c r="F849" t="str">
        <f t="shared" si="13"/>
        <v/>
      </c>
    </row>
    <row r="850" spans="6:6" x14ac:dyDescent="0.25">
      <c r="F850" t="str">
        <f t="shared" si="13"/>
        <v/>
      </c>
    </row>
    <row r="851" spans="6:6" x14ac:dyDescent="0.25">
      <c r="F851" t="str">
        <f t="shared" si="13"/>
        <v/>
      </c>
    </row>
    <row r="852" spans="6:6" x14ac:dyDescent="0.25">
      <c r="F852" t="str">
        <f t="shared" si="13"/>
        <v/>
      </c>
    </row>
    <row r="853" spans="6:6" x14ac:dyDescent="0.25">
      <c r="F853" t="str">
        <f t="shared" si="13"/>
        <v/>
      </c>
    </row>
    <row r="854" spans="6:6" x14ac:dyDescent="0.25">
      <c r="F854" t="str">
        <f t="shared" si="13"/>
        <v/>
      </c>
    </row>
    <row r="855" spans="6:6" x14ac:dyDescent="0.25">
      <c r="F855" t="str">
        <f t="shared" si="13"/>
        <v/>
      </c>
    </row>
    <row r="856" spans="6:6" x14ac:dyDescent="0.25">
      <c r="F856" t="str">
        <f t="shared" si="13"/>
        <v/>
      </c>
    </row>
    <row r="857" spans="6:6" x14ac:dyDescent="0.25">
      <c r="F857" t="str">
        <f t="shared" si="13"/>
        <v/>
      </c>
    </row>
    <row r="858" spans="6:6" x14ac:dyDescent="0.25">
      <c r="F858" t="str">
        <f t="shared" si="13"/>
        <v/>
      </c>
    </row>
    <row r="859" spans="6:6" x14ac:dyDescent="0.25">
      <c r="F859" t="str">
        <f t="shared" si="13"/>
        <v/>
      </c>
    </row>
    <row r="860" spans="6:6" x14ac:dyDescent="0.25">
      <c r="F860" t="str">
        <f t="shared" si="13"/>
        <v/>
      </c>
    </row>
    <row r="861" spans="6:6" x14ac:dyDescent="0.25">
      <c r="F861" t="str">
        <f t="shared" si="13"/>
        <v/>
      </c>
    </row>
    <row r="862" spans="6:6" x14ac:dyDescent="0.25">
      <c r="F862" t="str">
        <f t="shared" si="13"/>
        <v/>
      </c>
    </row>
    <row r="863" spans="6:6" x14ac:dyDescent="0.25">
      <c r="F863" t="str">
        <f t="shared" si="13"/>
        <v/>
      </c>
    </row>
    <row r="864" spans="6:6" x14ac:dyDescent="0.25">
      <c r="F864" t="str">
        <f t="shared" si="13"/>
        <v/>
      </c>
    </row>
    <row r="865" spans="6:6" x14ac:dyDescent="0.25">
      <c r="F865" t="str">
        <f t="shared" si="13"/>
        <v/>
      </c>
    </row>
    <row r="866" spans="6:6" x14ac:dyDescent="0.25">
      <c r="F866" t="str">
        <f t="shared" si="13"/>
        <v/>
      </c>
    </row>
    <row r="867" spans="6:6" x14ac:dyDescent="0.25">
      <c r="F867" t="str">
        <f t="shared" si="13"/>
        <v/>
      </c>
    </row>
    <row r="868" spans="6:6" x14ac:dyDescent="0.25">
      <c r="F868" t="str">
        <f t="shared" si="13"/>
        <v/>
      </c>
    </row>
    <row r="869" spans="6:6" x14ac:dyDescent="0.25">
      <c r="F869" t="str">
        <f t="shared" si="13"/>
        <v/>
      </c>
    </row>
    <row r="870" spans="6:6" x14ac:dyDescent="0.25">
      <c r="F870" t="str">
        <f t="shared" si="13"/>
        <v/>
      </c>
    </row>
    <row r="871" spans="6:6" x14ac:dyDescent="0.25">
      <c r="F871" t="str">
        <f t="shared" si="13"/>
        <v/>
      </c>
    </row>
    <row r="872" spans="6:6" x14ac:dyDescent="0.25">
      <c r="F872" t="str">
        <f t="shared" si="13"/>
        <v/>
      </c>
    </row>
    <row r="873" spans="6:6" x14ac:dyDescent="0.25">
      <c r="F873" t="str">
        <f t="shared" si="13"/>
        <v/>
      </c>
    </row>
    <row r="874" spans="6:6" x14ac:dyDescent="0.25">
      <c r="F874" t="str">
        <f t="shared" si="13"/>
        <v/>
      </c>
    </row>
    <row r="875" spans="6:6" x14ac:dyDescent="0.25">
      <c r="F875" t="str">
        <f t="shared" si="13"/>
        <v/>
      </c>
    </row>
    <row r="876" spans="6:6" x14ac:dyDescent="0.25">
      <c r="F876" t="str">
        <f t="shared" si="13"/>
        <v/>
      </c>
    </row>
    <row r="877" spans="6:6" x14ac:dyDescent="0.25">
      <c r="F877" t="str">
        <f t="shared" si="13"/>
        <v/>
      </c>
    </row>
    <row r="878" spans="6:6" x14ac:dyDescent="0.25">
      <c r="F878" t="str">
        <f t="shared" si="13"/>
        <v/>
      </c>
    </row>
    <row r="879" spans="6:6" x14ac:dyDescent="0.25">
      <c r="F879" t="str">
        <f t="shared" si="13"/>
        <v/>
      </c>
    </row>
    <row r="880" spans="6:6" x14ac:dyDescent="0.25">
      <c r="F880" t="str">
        <f t="shared" si="13"/>
        <v/>
      </c>
    </row>
    <row r="881" spans="6:6" x14ac:dyDescent="0.25">
      <c r="F881" t="str">
        <f t="shared" si="13"/>
        <v/>
      </c>
    </row>
    <row r="882" spans="6:6" x14ac:dyDescent="0.25">
      <c r="F882" t="str">
        <f t="shared" si="13"/>
        <v/>
      </c>
    </row>
    <row r="883" spans="6:6" x14ac:dyDescent="0.25">
      <c r="F883" t="str">
        <f t="shared" si="13"/>
        <v/>
      </c>
    </row>
    <row r="884" spans="6:6" x14ac:dyDescent="0.25">
      <c r="F884" t="str">
        <f t="shared" si="13"/>
        <v/>
      </c>
    </row>
    <row r="885" spans="6:6" x14ac:dyDescent="0.25">
      <c r="F885" t="str">
        <f t="shared" si="13"/>
        <v/>
      </c>
    </row>
    <row r="886" spans="6:6" x14ac:dyDescent="0.25">
      <c r="F886" t="str">
        <f t="shared" si="13"/>
        <v/>
      </c>
    </row>
    <row r="887" spans="6:6" x14ac:dyDescent="0.25">
      <c r="F887" t="str">
        <f t="shared" si="13"/>
        <v/>
      </c>
    </row>
    <row r="888" spans="6:6" x14ac:dyDescent="0.25">
      <c r="F888" t="str">
        <f t="shared" si="13"/>
        <v/>
      </c>
    </row>
    <row r="889" spans="6:6" x14ac:dyDescent="0.25">
      <c r="F889" t="str">
        <f t="shared" si="13"/>
        <v/>
      </c>
    </row>
    <row r="890" spans="6:6" x14ac:dyDescent="0.25">
      <c r="F890" t="str">
        <f t="shared" si="13"/>
        <v/>
      </c>
    </row>
    <row r="891" spans="6:6" x14ac:dyDescent="0.25">
      <c r="F891" t="str">
        <f t="shared" si="13"/>
        <v/>
      </c>
    </row>
    <row r="892" spans="6:6" x14ac:dyDescent="0.25">
      <c r="F892" t="str">
        <f t="shared" si="13"/>
        <v/>
      </c>
    </row>
    <row r="893" spans="6:6" x14ac:dyDescent="0.25">
      <c r="F893" t="str">
        <f t="shared" si="13"/>
        <v/>
      </c>
    </row>
    <row r="894" spans="6:6" x14ac:dyDescent="0.25">
      <c r="F894" t="str">
        <f t="shared" si="13"/>
        <v/>
      </c>
    </row>
    <row r="895" spans="6:6" x14ac:dyDescent="0.25">
      <c r="F895" t="str">
        <f t="shared" si="13"/>
        <v/>
      </c>
    </row>
    <row r="896" spans="6:6" x14ac:dyDescent="0.25">
      <c r="F896" t="str">
        <f t="shared" si="13"/>
        <v/>
      </c>
    </row>
    <row r="897" spans="6:6" x14ac:dyDescent="0.25">
      <c r="F897" t="str">
        <f t="shared" si="13"/>
        <v/>
      </c>
    </row>
    <row r="898" spans="6:6" x14ac:dyDescent="0.25">
      <c r="F898" t="str">
        <f t="shared" ref="F898:F961" si="14">IF(AND(D898&lt;&gt;"",E898&lt;&gt;""),E898-D898+1,"")</f>
        <v/>
      </c>
    </row>
    <row r="899" spans="6:6" x14ac:dyDescent="0.25">
      <c r="F899" t="str">
        <f t="shared" si="14"/>
        <v/>
      </c>
    </row>
    <row r="900" spans="6:6" x14ac:dyDescent="0.25">
      <c r="F900" t="str">
        <f t="shared" si="14"/>
        <v/>
      </c>
    </row>
    <row r="901" spans="6:6" x14ac:dyDescent="0.25">
      <c r="F901" t="str">
        <f t="shared" si="14"/>
        <v/>
      </c>
    </row>
    <row r="902" spans="6:6" x14ac:dyDescent="0.25">
      <c r="F902" t="str">
        <f t="shared" si="14"/>
        <v/>
      </c>
    </row>
    <row r="903" spans="6:6" x14ac:dyDescent="0.25">
      <c r="F903" t="str">
        <f t="shared" si="14"/>
        <v/>
      </c>
    </row>
    <row r="904" spans="6:6" x14ac:dyDescent="0.25">
      <c r="F904" t="str">
        <f t="shared" si="14"/>
        <v/>
      </c>
    </row>
    <row r="905" spans="6:6" x14ac:dyDescent="0.25">
      <c r="F905" t="str">
        <f t="shared" si="14"/>
        <v/>
      </c>
    </row>
    <row r="906" spans="6:6" x14ac:dyDescent="0.25">
      <c r="F906" t="str">
        <f t="shared" si="14"/>
        <v/>
      </c>
    </row>
    <row r="907" spans="6:6" x14ac:dyDescent="0.25">
      <c r="F907" t="str">
        <f t="shared" si="14"/>
        <v/>
      </c>
    </row>
    <row r="908" spans="6:6" x14ac:dyDescent="0.25">
      <c r="F908" t="str">
        <f t="shared" si="14"/>
        <v/>
      </c>
    </row>
    <row r="909" spans="6:6" x14ac:dyDescent="0.25">
      <c r="F909" t="str">
        <f t="shared" si="14"/>
        <v/>
      </c>
    </row>
    <row r="910" spans="6:6" x14ac:dyDescent="0.25">
      <c r="F910" t="str">
        <f t="shared" si="14"/>
        <v/>
      </c>
    </row>
    <row r="911" spans="6:6" x14ac:dyDescent="0.25">
      <c r="F911" t="str">
        <f t="shared" si="14"/>
        <v/>
      </c>
    </row>
    <row r="912" spans="6:6" x14ac:dyDescent="0.25">
      <c r="F912" t="str">
        <f t="shared" si="14"/>
        <v/>
      </c>
    </row>
    <row r="913" spans="6:6" x14ac:dyDescent="0.25">
      <c r="F913" t="str">
        <f t="shared" si="14"/>
        <v/>
      </c>
    </row>
    <row r="914" spans="6:6" x14ac:dyDescent="0.25">
      <c r="F914" t="str">
        <f t="shared" si="14"/>
        <v/>
      </c>
    </row>
    <row r="915" spans="6:6" x14ac:dyDescent="0.25">
      <c r="F915" t="str">
        <f t="shared" si="14"/>
        <v/>
      </c>
    </row>
    <row r="916" spans="6:6" x14ac:dyDescent="0.25">
      <c r="F916" t="str">
        <f t="shared" si="14"/>
        <v/>
      </c>
    </row>
    <row r="917" spans="6:6" x14ac:dyDescent="0.25">
      <c r="F917" t="str">
        <f t="shared" si="14"/>
        <v/>
      </c>
    </row>
    <row r="918" spans="6:6" x14ac:dyDescent="0.25">
      <c r="F918" t="str">
        <f t="shared" si="14"/>
        <v/>
      </c>
    </row>
    <row r="919" spans="6:6" x14ac:dyDescent="0.25">
      <c r="F919" t="str">
        <f t="shared" si="14"/>
        <v/>
      </c>
    </row>
    <row r="920" spans="6:6" x14ac:dyDescent="0.25">
      <c r="F920" t="str">
        <f t="shared" si="14"/>
        <v/>
      </c>
    </row>
    <row r="921" spans="6:6" x14ac:dyDescent="0.25">
      <c r="F921" t="str">
        <f t="shared" si="14"/>
        <v/>
      </c>
    </row>
    <row r="922" spans="6:6" x14ac:dyDescent="0.25">
      <c r="F922" t="str">
        <f t="shared" si="14"/>
        <v/>
      </c>
    </row>
    <row r="923" spans="6:6" x14ac:dyDescent="0.25">
      <c r="F923" t="str">
        <f t="shared" si="14"/>
        <v/>
      </c>
    </row>
    <row r="924" spans="6:6" x14ac:dyDescent="0.25">
      <c r="F924" t="str">
        <f t="shared" si="14"/>
        <v/>
      </c>
    </row>
    <row r="925" spans="6:6" x14ac:dyDescent="0.25">
      <c r="F925" t="str">
        <f t="shared" si="14"/>
        <v/>
      </c>
    </row>
    <row r="926" spans="6:6" x14ac:dyDescent="0.25">
      <c r="F926" t="str">
        <f t="shared" si="14"/>
        <v/>
      </c>
    </row>
    <row r="927" spans="6:6" x14ac:dyDescent="0.25">
      <c r="F927" t="str">
        <f t="shared" si="14"/>
        <v/>
      </c>
    </row>
    <row r="928" spans="6:6" x14ac:dyDescent="0.25">
      <c r="F928" t="str">
        <f t="shared" si="14"/>
        <v/>
      </c>
    </row>
    <row r="929" spans="6:6" x14ac:dyDescent="0.25">
      <c r="F929" t="str">
        <f t="shared" si="14"/>
        <v/>
      </c>
    </row>
    <row r="930" spans="6:6" x14ac:dyDescent="0.25">
      <c r="F930" t="str">
        <f t="shared" si="14"/>
        <v/>
      </c>
    </row>
    <row r="931" spans="6:6" x14ac:dyDescent="0.25">
      <c r="F931" t="str">
        <f t="shared" si="14"/>
        <v/>
      </c>
    </row>
    <row r="932" spans="6:6" x14ac:dyDescent="0.25">
      <c r="F932" t="str">
        <f t="shared" si="14"/>
        <v/>
      </c>
    </row>
    <row r="933" spans="6:6" x14ac:dyDescent="0.25">
      <c r="F933" t="str">
        <f t="shared" si="14"/>
        <v/>
      </c>
    </row>
    <row r="934" spans="6:6" x14ac:dyDescent="0.25">
      <c r="F934" t="str">
        <f t="shared" si="14"/>
        <v/>
      </c>
    </row>
    <row r="935" spans="6:6" x14ac:dyDescent="0.25">
      <c r="F935" t="str">
        <f t="shared" si="14"/>
        <v/>
      </c>
    </row>
    <row r="936" spans="6:6" x14ac:dyDescent="0.25">
      <c r="F936" t="str">
        <f t="shared" si="14"/>
        <v/>
      </c>
    </row>
    <row r="937" spans="6:6" x14ac:dyDescent="0.25">
      <c r="F937" t="str">
        <f t="shared" si="14"/>
        <v/>
      </c>
    </row>
    <row r="938" spans="6:6" x14ac:dyDescent="0.25">
      <c r="F938" t="str">
        <f t="shared" si="14"/>
        <v/>
      </c>
    </row>
    <row r="939" spans="6:6" x14ac:dyDescent="0.25">
      <c r="F939" t="str">
        <f t="shared" si="14"/>
        <v/>
      </c>
    </row>
    <row r="940" spans="6:6" x14ac:dyDescent="0.25">
      <c r="F940" t="str">
        <f t="shared" si="14"/>
        <v/>
      </c>
    </row>
    <row r="941" spans="6:6" x14ac:dyDescent="0.25">
      <c r="F941" t="str">
        <f t="shared" si="14"/>
        <v/>
      </c>
    </row>
    <row r="942" spans="6:6" x14ac:dyDescent="0.25">
      <c r="F942" t="str">
        <f t="shared" si="14"/>
        <v/>
      </c>
    </row>
    <row r="943" spans="6:6" x14ac:dyDescent="0.25">
      <c r="F943" t="str">
        <f t="shared" si="14"/>
        <v/>
      </c>
    </row>
    <row r="944" spans="6:6" x14ac:dyDescent="0.25">
      <c r="F944" t="str">
        <f t="shared" si="14"/>
        <v/>
      </c>
    </row>
    <row r="945" spans="6:6" x14ac:dyDescent="0.25">
      <c r="F945" t="str">
        <f t="shared" si="14"/>
        <v/>
      </c>
    </row>
    <row r="946" spans="6:6" x14ac:dyDescent="0.25">
      <c r="F946" t="str">
        <f t="shared" si="14"/>
        <v/>
      </c>
    </row>
    <row r="947" spans="6:6" x14ac:dyDescent="0.25">
      <c r="F947" t="str">
        <f t="shared" si="14"/>
        <v/>
      </c>
    </row>
    <row r="948" spans="6:6" x14ac:dyDescent="0.25">
      <c r="F948" t="str">
        <f t="shared" si="14"/>
        <v/>
      </c>
    </row>
    <row r="949" spans="6:6" x14ac:dyDescent="0.25">
      <c r="F949" t="str">
        <f t="shared" si="14"/>
        <v/>
      </c>
    </row>
    <row r="950" spans="6:6" x14ac:dyDescent="0.25">
      <c r="F950" t="str">
        <f t="shared" si="14"/>
        <v/>
      </c>
    </row>
    <row r="951" spans="6:6" x14ac:dyDescent="0.25">
      <c r="F951" t="str">
        <f t="shared" si="14"/>
        <v/>
      </c>
    </row>
    <row r="952" spans="6:6" x14ac:dyDescent="0.25">
      <c r="F952" t="str">
        <f t="shared" si="14"/>
        <v/>
      </c>
    </row>
    <row r="953" spans="6:6" x14ac:dyDescent="0.25">
      <c r="F953" t="str">
        <f t="shared" si="14"/>
        <v/>
      </c>
    </row>
    <row r="954" spans="6:6" x14ac:dyDescent="0.25">
      <c r="F954" t="str">
        <f t="shared" si="14"/>
        <v/>
      </c>
    </row>
    <row r="955" spans="6:6" x14ac:dyDescent="0.25">
      <c r="F955" t="str">
        <f t="shared" si="14"/>
        <v/>
      </c>
    </row>
    <row r="956" spans="6:6" x14ac:dyDescent="0.25">
      <c r="F956" t="str">
        <f t="shared" si="14"/>
        <v/>
      </c>
    </row>
    <row r="957" spans="6:6" x14ac:dyDescent="0.25">
      <c r="F957" t="str">
        <f t="shared" si="14"/>
        <v/>
      </c>
    </row>
    <row r="958" spans="6:6" x14ac:dyDescent="0.25">
      <c r="F958" t="str">
        <f t="shared" si="14"/>
        <v/>
      </c>
    </row>
    <row r="959" spans="6:6" x14ac:dyDescent="0.25">
      <c r="F959" t="str">
        <f t="shared" si="14"/>
        <v/>
      </c>
    </row>
    <row r="960" spans="6:6" x14ac:dyDescent="0.25">
      <c r="F960" t="str">
        <f t="shared" si="14"/>
        <v/>
      </c>
    </row>
    <row r="961" spans="6:6" x14ac:dyDescent="0.25">
      <c r="F961" t="str">
        <f t="shared" si="14"/>
        <v/>
      </c>
    </row>
    <row r="962" spans="6:6" x14ac:dyDescent="0.25">
      <c r="F962" t="str">
        <f t="shared" ref="F962:F1001" si="15">IF(AND(D962&lt;&gt;"",E962&lt;&gt;""),E962-D962+1,"")</f>
        <v/>
      </c>
    </row>
    <row r="963" spans="6:6" x14ac:dyDescent="0.25">
      <c r="F963" t="str">
        <f t="shared" si="15"/>
        <v/>
      </c>
    </row>
    <row r="964" spans="6:6" x14ac:dyDescent="0.25">
      <c r="F964" t="str">
        <f t="shared" si="15"/>
        <v/>
      </c>
    </row>
    <row r="965" spans="6:6" x14ac:dyDescent="0.25">
      <c r="F965" t="str">
        <f t="shared" si="15"/>
        <v/>
      </c>
    </row>
    <row r="966" spans="6:6" x14ac:dyDescent="0.25">
      <c r="F966" t="str">
        <f t="shared" si="15"/>
        <v/>
      </c>
    </row>
    <row r="967" spans="6:6" x14ac:dyDescent="0.25">
      <c r="F967" t="str">
        <f t="shared" si="15"/>
        <v/>
      </c>
    </row>
    <row r="968" spans="6:6" x14ac:dyDescent="0.25">
      <c r="F968" t="str">
        <f t="shared" si="15"/>
        <v/>
      </c>
    </row>
    <row r="969" spans="6:6" x14ac:dyDescent="0.25">
      <c r="F969" t="str">
        <f t="shared" si="15"/>
        <v/>
      </c>
    </row>
    <row r="970" spans="6:6" x14ac:dyDescent="0.25">
      <c r="F970" t="str">
        <f t="shared" si="15"/>
        <v/>
      </c>
    </row>
    <row r="971" spans="6:6" x14ac:dyDescent="0.25">
      <c r="F971" t="str">
        <f t="shared" si="15"/>
        <v/>
      </c>
    </row>
    <row r="972" spans="6:6" x14ac:dyDescent="0.25">
      <c r="F972" t="str">
        <f t="shared" si="15"/>
        <v/>
      </c>
    </row>
    <row r="973" spans="6:6" x14ac:dyDescent="0.25">
      <c r="F973" t="str">
        <f t="shared" si="15"/>
        <v/>
      </c>
    </row>
    <row r="974" spans="6:6" x14ac:dyDescent="0.25">
      <c r="F974" t="str">
        <f t="shared" si="15"/>
        <v/>
      </c>
    </row>
    <row r="975" spans="6:6" x14ac:dyDescent="0.25">
      <c r="F975" t="str">
        <f t="shared" si="15"/>
        <v/>
      </c>
    </row>
    <row r="976" spans="6:6" x14ac:dyDescent="0.25">
      <c r="F976" t="str">
        <f t="shared" si="15"/>
        <v/>
      </c>
    </row>
    <row r="977" spans="6:6" x14ac:dyDescent="0.25">
      <c r="F977" t="str">
        <f t="shared" si="15"/>
        <v/>
      </c>
    </row>
    <row r="978" spans="6:6" x14ac:dyDescent="0.25">
      <c r="F978" t="str">
        <f t="shared" si="15"/>
        <v/>
      </c>
    </row>
    <row r="979" spans="6:6" x14ac:dyDescent="0.25">
      <c r="F979" t="str">
        <f t="shared" si="15"/>
        <v/>
      </c>
    </row>
    <row r="980" spans="6:6" x14ac:dyDescent="0.25">
      <c r="F980" t="str">
        <f t="shared" si="15"/>
        <v/>
      </c>
    </row>
    <row r="981" spans="6:6" x14ac:dyDescent="0.25">
      <c r="F981" t="str">
        <f t="shared" si="15"/>
        <v/>
      </c>
    </row>
    <row r="982" spans="6:6" x14ac:dyDescent="0.25">
      <c r="F982" t="str">
        <f t="shared" si="15"/>
        <v/>
      </c>
    </row>
    <row r="983" spans="6:6" x14ac:dyDescent="0.25">
      <c r="F983" t="str">
        <f t="shared" si="15"/>
        <v/>
      </c>
    </row>
    <row r="984" spans="6:6" x14ac:dyDescent="0.25">
      <c r="F984" t="str">
        <f t="shared" si="15"/>
        <v/>
      </c>
    </row>
    <row r="985" spans="6:6" x14ac:dyDescent="0.25">
      <c r="F985" t="str">
        <f t="shared" si="15"/>
        <v/>
      </c>
    </row>
    <row r="986" spans="6:6" x14ac:dyDescent="0.25">
      <c r="F986" t="str">
        <f t="shared" si="15"/>
        <v/>
      </c>
    </row>
    <row r="987" spans="6:6" x14ac:dyDescent="0.25">
      <c r="F987" t="str">
        <f t="shared" si="15"/>
        <v/>
      </c>
    </row>
    <row r="988" spans="6:6" x14ac:dyDescent="0.25">
      <c r="F988" t="str">
        <f t="shared" si="15"/>
        <v/>
      </c>
    </row>
    <row r="989" spans="6:6" x14ac:dyDescent="0.25">
      <c r="F989" t="str">
        <f t="shared" si="15"/>
        <v/>
      </c>
    </row>
    <row r="990" spans="6:6" x14ac:dyDescent="0.25">
      <c r="F990" t="str">
        <f t="shared" si="15"/>
        <v/>
      </c>
    </row>
    <row r="991" spans="6:6" x14ac:dyDescent="0.25">
      <c r="F991" t="str">
        <f t="shared" si="15"/>
        <v/>
      </c>
    </row>
    <row r="992" spans="6:6" x14ac:dyDescent="0.25">
      <c r="F992" t="str">
        <f t="shared" si="15"/>
        <v/>
      </c>
    </row>
    <row r="993" spans="6:6" x14ac:dyDescent="0.25">
      <c r="F993" t="str">
        <f t="shared" si="15"/>
        <v/>
      </c>
    </row>
    <row r="994" spans="6:6" x14ac:dyDescent="0.25">
      <c r="F994" t="str">
        <f t="shared" si="15"/>
        <v/>
      </c>
    </row>
    <row r="995" spans="6:6" x14ac:dyDescent="0.25">
      <c r="F995" t="str">
        <f t="shared" si="15"/>
        <v/>
      </c>
    </row>
    <row r="996" spans="6:6" x14ac:dyDescent="0.25">
      <c r="F996" t="str">
        <f t="shared" si="15"/>
        <v/>
      </c>
    </row>
    <row r="997" spans="6:6" x14ac:dyDescent="0.25">
      <c r="F997" t="str">
        <f t="shared" si="15"/>
        <v/>
      </c>
    </row>
    <row r="998" spans="6:6" x14ac:dyDescent="0.25">
      <c r="F998" t="str">
        <f t="shared" si="15"/>
        <v/>
      </c>
    </row>
    <row r="999" spans="6:6" x14ac:dyDescent="0.25">
      <c r="F999" t="str">
        <f t="shared" si="15"/>
        <v/>
      </c>
    </row>
    <row r="1000" spans="6:6" x14ac:dyDescent="0.25">
      <c r="F1000" t="str">
        <f t="shared" si="15"/>
        <v/>
      </c>
    </row>
    <row r="1001" spans="6:6" x14ac:dyDescent="0.25">
      <c r="F1001" t="str">
        <f t="shared" si="15"/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Worksheet____4"/>
  <dimension ref="A1:G2"/>
  <sheetViews>
    <sheetView rightToLeft="1" workbookViewId="0">
      <selection activeCell="F3" sqref="F3"/>
    </sheetView>
  </sheetViews>
  <sheetFormatPr defaultRowHeight="15" x14ac:dyDescent="0.25"/>
  <cols>
    <col min="1" max="1" width="10" customWidth="1"/>
    <col min="2" max="2" width="32" customWidth="1"/>
    <col min="3" max="4" width="22" customWidth="1"/>
    <col min="5" max="5" width="16" customWidth="1"/>
    <col min="6" max="7" width="35" customWidth="1"/>
  </cols>
  <sheetData>
    <row r="1" spans="1:7" x14ac:dyDescent="0.25">
      <c r="A1" s="3" t="s">
        <v>12</v>
      </c>
      <c r="B1" s="3" t="s">
        <v>7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11</v>
      </c>
    </row>
    <row r="2" spans="1:7" x14ac:dyDescent="0.25">
      <c r="A2">
        <v>1</v>
      </c>
      <c r="B2" t="s">
        <v>268</v>
      </c>
      <c r="C2" t="s">
        <v>519</v>
      </c>
      <c r="D2" t="s">
        <v>76</v>
      </c>
      <c r="E2" s="48">
        <v>42651</v>
      </c>
      <c r="F2" t="s">
        <v>520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Worksheet____5"/>
  <dimension ref="A1:B28"/>
  <sheetViews>
    <sheetView rightToLeft="1" workbookViewId="0">
      <selection activeCell="B17" sqref="B17"/>
    </sheetView>
  </sheetViews>
  <sheetFormatPr defaultRowHeight="15" x14ac:dyDescent="0.25"/>
  <cols>
    <col min="1" max="1" width="25" customWidth="1"/>
    <col min="2" max="2" width="18" customWidth="1"/>
  </cols>
  <sheetData>
    <row r="1" spans="1:2" x14ac:dyDescent="0.25">
      <c r="A1" s="4" t="s">
        <v>8</v>
      </c>
      <c r="B1" s="4" t="s">
        <v>21</v>
      </c>
    </row>
    <row r="2" spans="1:2" x14ac:dyDescent="0.25">
      <c r="A2" t="s">
        <v>496</v>
      </c>
      <c r="B2" s="29">
        <v>15</v>
      </c>
    </row>
    <row r="3" spans="1:2" x14ac:dyDescent="0.25">
      <c r="A3" t="s">
        <v>497</v>
      </c>
      <c r="B3" s="29">
        <v>13</v>
      </c>
    </row>
    <row r="4" spans="1:2" x14ac:dyDescent="0.25">
      <c r="A4" t="s">
        <v>76</v>
      </c>
      <c r="B4" s="29">
        <v>11</v>
      </c>
    </row>
    <row r="5" spans="1:2" x14ac:dyDescent="0.25">
      <c r="A5" t="s">
        <v>498</v>
      </c>
      <c r="B5" s="29">
        <v>6</v>
      </c>
    </row>
    <row r="6" spans="1:2" x14ac:dyDescent="0.25">
      <c r="A6" t="s">
        <v>306</v>
      </c>
      <c r="B6" s="29">
        <v>12</v>
      </c>
    </row>
    <row r="7" spans="1:2" x14ac:dyDescent="0.25">
      <c r="A7" t="s">
        <v>431</v>
      </c>
      <c r="B7" s="29">
        <v>8</v>
      </c>
    </row>
    <row r="8" spans="1:2" x14ac:dyDescent="0.25">
      <c r="A8" t="s">
        <v>488</v>
      </c>
      <c r="B8" s="29">
        <v>3</v>
      </c>
    </row>
    <row r="9" spans="1:2" x14ac:dyDescent="0.25">
      <c r="A9" t="s">
        <v>115</v>
      </c>
      <c r="B9" s="29">
        <v>5</v>
      </c>
    </row>
    <row r="10" spans="1:2" x14ac:dyDescent="0.25">
      <c r="A10" t="s">
        <v>343</v>
      </c>
      <c r="B10" s="29">
        <v>6</v>
      </c>
    </row>
    <row r="11" spans="1:2" x14ac:dyDescent="0.25">
      <c r="A11" t="s">
        <v>362</v>
      </c>
      <c r="B11" s="29">
        <v>4</v>
      </c>
    </row>
    <row r="12" spans="1:2" x14ac:dyDescent="0.25">
      <c r="A12" t="s">
        <v>499</v>
      </c>
      <c r="B12" s="29">
        <v>6</v>
      </c>
    </row>
    <row r="13" spans="1:2" x14ac:dyDescent="0.25">
      <c r="A13" t="s">
        <v>157</v>
      </c>
      <c r="B13" s="29">
        <v>11</v>
      </c>
    </row>
    <row r="14" spans="1:2" x14ac:dyDescent="0.25">
      <c r="A14" t="s">
        <v>475</v>
      </c>
      <c r="B14" s="29">
        <v>4</v>
      </c>
    </row>
    <row r="15" spans="1:2" x14ac:dyDescent="0.25">
      <c r="A15" t="s">
        <v>93</v>
      </c>
      <c r="B15" s="29">
        <v>4</v>
      </c>
    </row>
    <row r="16" spans="1:2" x14ac:dyDescent="0.25">
      <c r="A16" t="s">
        <v>500</v>
      </c>
      <c r="B16" s="29">
        <v>3</v>
      </c>
    </row>
    <row r="17" spans="1:2" x14ac:dyDescent="0.25">
      <c r="A17" t="s">
        <v>385</v>
      </c>
      <c r="B17" s="29">
        <v>4</v>
      </c>
    </row>
    <row r="18" spans="1:2" x14ac:dyDescent="0.25">
      <c r="A18" t="s">
        <v>144</v>
      </c>
      <c r="B18" s="29">
        <v>3</v>
      </c>
    </row>
    <row r="19" spans="1:2" x14ac:dyDescent="0.25">
      <c r="A19" t="s">
        <v>405</v>
      </c>
      <c r="B19" s="29">
        <v>3</v>
      </c>
    </row>
    <row r="20" spans="1:2" x14ac:dyDescent="0.25">
      <c r="A20" t="s">
        <v>256</v>
      </c>
      <c r="B20" s="29">
        <v>3</v>
      </c>
    </row>
    <row r="21" spans="1:2" x14ac:dyDescent="0.25">
      <c r="A21" t="s">
        <v>249</v>
      </c>
      <c r="B21" s="29">
        <v>3</v>
      </c>
    </row>
    <row r="22" spans="1:2" x14ac:dyDescent="0.25">
      <c r="A22" t="s">
        <v>501</v>
      </c>
      <c r="B22" s="29">
        <v>4</v>
      </c>
    </row>
    <row r="23" spans="1:2" x14ac:dyDescent="0.25">
      <c r="A23" t="s">
        <v>401</v>
      </c>
      <c r="B23" s="29">
        <v>3</v>
      </c>
    </row>
    <row r="24" spans="1:2" x14ac:dyDescent="0.25">
      <c r="A24" t="s">
        <v>502</v>
      </c>
      <c r="B24" s="29">
        <v>4</v>
      </c>
    </row>
    <row r="25" spans="1:2" x14ac:dyDescent="0.25">
      <c r="A25" t="s">
        <v>131</v>
      </c>
      <c r="B25" s="29">
        <v>4</v>
      </c>
    </row>
    <row r="26" spans="1:2" x14ac:dyDescent="0.25">
      <c r="A26" t="s">
        <v>88</v>
      </c>
      <c r="B26" s="29">
        <v>4</v>
      </c>
    </row>
    <row r="27" spans="1:2" x14ac:dyDescent="0.25">
      <c r="A27" t="s">
        <v>236</v>
      </c>
      <c r="B27" s="29">
        <v>4</v>
      </c>
    </row>
    <row r="28" spans="1:2" x14ac:dyDescent="0.25">
      <c r="A28" s="35" t="s">
        <v>506</v>
      </c>
      <c r="B28" s="35">
        <f>SUM(B2:B27)</f>
        <v>150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Worksheet____6"/>
  <dimension ref="A1:B7"/>
  <sheetViews>
    <sheetView rightToLeft="1" workbookViewId="0">
      <selection activeCell="B13" sqref="B13"/>
    </sheetView>
  </sheetViews>
  <sheetFormatPr defaultRowHeight="15" x14ac:dyDescent="0.25"/>
  <cols>
    <col min="1" max="1" width="25" customWidth="1"/>
    <col min="2" max="2" width="50" customWidth="1"/>
  </cols>
  <sheetData>
    <row r="1" spans="1:2" x14ac:dyDescent="0.25">
      <c r="A1" s="4" t="s">
        <v>22</v>
      </c>
      <c r="B1" s="4" t="s">
        <v>23</v>
      </c>
    </row>
    <row r="2" spans="1:2" x14ac:dyDescent="0.25">
      <c r="A2" t="s">
        <v>24</v>
      </c>
      <c r="B2" t="s">
        <v>0</v>
      </c>
    </row>
    <row r="3" spans="1:2" x14ac:dyDescent="0.25">
      <c r="A3" t="s">
        <v>25</v>
      </c>
      <c r="B3" t="s">
        <v>26</v>
      </c>
    </row>
    <row r="4" spans="1:2" x14ac:dyDescent="0.25">
      <c r="A4" t="s">
        <v>27</v>
      </c>
      <c r="B4" t="s">
        <v>28</v>
      </c>
    </row>
    <row r="5" spans="1:2" x14ac:dyDescent="0.25">
      <c r="A5" t="s">
        <v>29</v>
      </c>
      <c r="B5" t="s">
        <v>30</v>
      </c>
    </row>
    <row r="6" spans="1:2" x14ac:dyDescent="0.25">
      <c r="A6" t="s">
        <v>31</v>
      </c>
      <c r="B6" t="s">
        <v>32</v>
      </c>
    </row>
    <row r="7" spans="1:2" x14ac:dyDescent="0.25">
      <c r="A7" t="s">
        <v>33</v>
      </c>
      <c r="B7" t="s">
        <v>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84543E-F335-408D-80AC-59362C4966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6</vt:i4>
      </vt:variant>
      <vt:variant>
        <vt:lpstr>النطاقات المسماة</vt:lpstr>
      </vt:variant>
      <vt:variant>
        <vt:i4>1</vt:i4>
      </vt:variant>
    </vt:vector>
  </HeadingPairs>
  <TitlesOfParts>
    <vt:vector size="7" baseType="lpstr">
      <vt:lpstr>Dashboard</vt:lpstr>
      <vt:lpstr>cheet1</vt:lpstr>
      <vt:lpstr>الإجازات</vt:lpstr>
      <vt:lpstr>النقل</vt:lpstr>
      <vt:lpstr>الوحدات</vt:lpstr>
      <vt:lpstr>الإعدادات</vt:lpstr>
      <vt:lpstr>cheet1!Criteria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</cp:lastModifiedBy>
  <dcterms:created xsi:type="dcterms:W3CDTF">2026-08-05T23:29:22Z</dcterms:created>
  <dcterms:modified xsi:type="dcterms:W3CDTF">2026-08-11T19:58:28Z</dcterms:modified>
</cp:coreProperties>
</file>